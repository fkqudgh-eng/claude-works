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name="26-4월4주차" sheetId="1" state="visible" r:id="rId1"/>
    <sheet name="보존식" sheetId="2" state="visible" r:id="rId2"/>
  </sheets>
  <definedNames>
    <definedName name="_">#REF!</definedName>
    <definedName name="논공휴게소">#REF!</definedName>
    <definedName name="식약처수거검사일지">#REF!</definedName>
    <definedName name="ㅇㅇ">#REF!</definedName>
    <definedName name="운영">#REF!</definedName>
    <definedName name="운영미흡">#REF!</definedName>
    <definedName name="운영보통">#REF!</definedName>
    <definedName name="운영양호">#REF!</definedName>
    <definedName name="운영칸">#REF!</definedName>
    <definedName name="위생">#REF!</definedName>
    <definedName name="위생칸">#REF!</definedName>
    <definedName name="위운영점수">#REF!</definedName>
    <definedName name="일지">#REF!</definedName>
    <definedName name="직운영점수">#REF!</definedName>
    <definedName name="직운영칸">#REF!</definedName>
    <definedName name="푸드트럭">#REF!</definedName>
    <definedName name="_xlnm.Print_Area" localSheetId="0">'26-4월4주차'!$A$1:$K$48</definedName>
    <definedName name="_xlnm.Print_Area" localSheetId="1">'보존식'!$A$1:$T$105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mm\/dd\(aaa\)"/>
    <numFmt numFmtId="165" formatCode="#,##0;[Red]#,##0"/>
    <numFmt numFmtId="166" formatCode="[$-412]yy&quot;년&quot;m&quot;월&quot;d&quot;일&quot;\ dddd"/>
  </numFmts>
  <fonts count="5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돋움"/>
      <charset val="129"/>
      <family val="3"/>
      <b val="1"/>
      <sz val="11"/>
    </font>
    <font>
      <name val="맑은 고딕"/>
      <charset val="129"/>
      <family val="2"/>
      <sz val="8"/>
      <scheme val="minor"/>
    </font>
    <font>
      <name val="NanumSquare Neo ExtraBold"/>
      <charset val="129"/>
      <family val="3"/>
      <sz val="72"/>
    </font>
    <font>
      <name val="돋움"/>
      <charset val="129"/>
      <family val="3"/>
      <b val="1"/>
      <sz val="24"/>
    </font>
    <font>
      <name val="NanumSquare Neo ExtraBold"/>
      <charset val="129"/>
      <family val="3"/>
      <sz val="45"/>
    </font>
    <font>
      <name val="NanumSquare Neo Regular"/>
      <charset val="129"/>
      <family val="3"/>
      <b val="1"/>
      <sz val="28"/>
    </font>
    <font>
      <name val="NanumSquare Neo Regular"/>
      <charset val="129"/>
      <family val="3"/>
      <b val="1"/>
      <sz val="12"/>
    </font>
    <font>
      <name val="NanumSquare Neo Regular"/>
      <charset val="129"/>
      <family val="3"/>
      <b val="1"/>
      <color rgb="FFFF0000"/>
      <sz val="12"/>
    </font>
    <font>
      <name val="나눔고딕"/>
      <charset val="129"/>
      <family val="3"/>
      <b val="1"/>
      <sz val="15"/>
    </font>
    <font>
      <name val="NanumSquare Neo Regular"/>
      <charset val="129"/>
      <family val="3"/>
      <color theme="0"/>
      <sz val="28"/>
    </font>
    <font>
      <name val="NanumSquare Neo Regular"/>
      <charset val="129"/>
      <family val="3"/>
      <color theme="0" tint="-0.0499893185216834"/>
      <sz val="28"/>
    </font>
    <font>
      <name val="NanumSquare Neo Regular"/>
      <charset val="129"/>
      <family val="3"/>
      <sz val="28"/>
    </font>
    <font>
      <name val="돋움"/>
      <charset val="129"/>
      <family val="3"/>
      <color rgb="FF000000"/>
      <sz val="11"/>
    </font>
    <font>
      <name val="NanumSquare Neo Regular"/>
      <charset val="129"/>
      <family val="3"/>
      <color rgb="FF000000"/>
      <sz val="28"/>
    </font>
    <font>
      <name val="NanumSquare Neo Regular"/>
      <charset val="129"/>
      <family val="3"/>
      <color theme="1"/>
      <sz val="28"/>
    </font>
    <font>
      <name val="나눔고딕"/>
      <charset val="129"/>
      <family val="3"/>
      <b val="1"/>
      <color theme="1"/>
      <sz val="15"/>
    </font>
    <font>
      <name val="NanumSquare Neo Regular"/>
      <charset val="129"/>
      <family val="3"/>
      <b val="1"/>
      <sz val="14"/>
    </font>
    <font>
      <name val="돋움"/>
      <charset val="129"/>
      <family val="3"/>
      <b val="1"/>
      <sz val="15"/>
    </font>
    <font>
      <name val="NanumSquare Neo Regular"/>
      <charset val="129"/>
      <family val="3"/>
      <color theme="1"/>
      <sz val="16"/>
    </font>
    <font>
      <name val="NanumSquare Neo OTF Regular"/>
      <charset val="129"/>
      <family val="3"/>
      <b val="1"/>
      <sz val="11"/>
    </font>
    <font>
      <name val="돋움"/>
      <charset val="129"/>
      <family val="3"/>
      <b val="1"/>
      <sz val="26"/>
    </font>
    <font>
      <name val="NanumSquare Neo Regular"/>
      <charset val="129"/>
      <family val="3"/>
      <sz val="26"/>
    </font>
    <font>
      <name val="나눔스퀘어 네오 Bold"/>
      <charset val="129"/>
      <family val="3"/>
      <b val="1"/>
      <color theme="0"/>
      <sz val="20"/>
    </font>
    <font>
      <name val="나눔스퀘어 네오 Bold"/>
      <charset val="129"/>
      <family val="3"/>
      <b val="1"/>
      <color rgb="FFFFC000"/>
      <sz val="20"/>
    </font>
    <font>
      <name val="돋움"/>
      <charset val="129"/>
      <family val="3"/>
      <sz val="8"/>
    </font>
    <font>
      <name val="맑은 고딕"/>
      <charset val="129"/>
      <family val="2"/>
      <color theme="1"/>
      <sz val="14"/>
      <scheme val="minor"/>
    </font>
    <font>
      <name val="나눔스퀘어 네오 Bold"/>
      <charset val="129"/>
      <family val="3"/>
      <b val="1"/>
      <color theme="1"/>
      <sz val="20"/>
    </font>
    <font>
      <name val="나눔스퀘어 네오 Bold"/>
      <charset val="129"/>
      <family val="3"/>
      <b val="1"/>
      <sz val="20"/>
    </font>
    <font>
      <name val="맑은 고딕"/>
      <charset val="129"/>
      <family val="2"/>
      <color theme="1"/>
      <sz val="20"/>
      <scheme val="minor"/>
    </font>
    <font>
      <name val="맑은 고딕"/>
      <charset val="129"/>
      <family val="2"/>
      <color theme="1"/>
      <sz val="16"/>
      <scheme val="minor"/>
    </font>
    <font>
      <name val="나눔스퀘어 네오 Bold"/>
      <charset val="129"/>
      <family val="3"/>
      <b val="1"/>
      <sz val="16"/>
    </font>
    <font>
      <name val="맑은 고딕"/>
      <charset val="129"/>
      <family val="2"/>
      <color theme="1"/>
      <sz val="10"/>
      <scheme val="minor"/>
    </font>
    <font>
      <name val="나눔스퀘어 네오 Bold"/>
      <charset val="129"/>
      <family val="3"/>
      <b val="1"/>
      <color rgb="FF00B0F0"/>
      <sz val="20"/>
    </font>
    <font>
      <name val="나눔스퀘어 네오 Bold"/>
      <charset val="129"/>
      <family val="3"/>
      <b val="1"/>
      <color rgb="FF92D050"/>
      <sz val="20"/>
    </font>
    <font>
      <name val="나눔스퀘어 네오 Bold"/>
      <charset val="129"/>
      <family val="3"/>
      <b val="1"/>
      <color theme="5"/>
      <sz val="20"/>
    </font>
    <font>
      <name val="나눔스퀘어 네오 Bold"/>
      <charset val="129"/>
      <family val="3"/>
      <b val="1"/>
      <color rgb="FFFF0000"/>
      <sz val="20"/>
    </font>
    <font>
      <name val="생거진천체"/>
      <charset val="129"/>
      <family val="3"/>
      <color rgb="FF000000"/>
      <sz val="42"/>
    </font>
    <font>
      <name val="생거진천체"/>
      <charset val="129"/>
      <family val="3"/>
      <color rgb="FF000000"/>
      <sz val="36"/>
    </font>
    <font>
      <name val="HY목각파임B"/>
      <charset val="129"/>
      <family val="1"/>
      <b val="1"/>
      <color rgb="FF0070C0"/>
      <sz val="36"/>
    </font>
    <font>
      <name val="생거진천체"/>
      <charset val="129"/>
      <family val="3"/>
      <color theme="7"/>
      <sz val="48"/>
    </font>
    <font>
      <name val="돋움"/>
      <charset val="129"/>
      <family val="3"/>
      <b val="1"/>
      <sz val="22"/>
    </font>
    <font>
      <name val="돋움"/>
      <charset val="129"/>
      <family val="3"/>
      <b val="1"/>
      <sz val="20"/>
    </font>
    <font>
      <name val="나눔스퀘어 네오 Regular"/>
      <charset val="129"/>
      <family val="3"/>
      <sz val="28"/>
    </font>
    <font>
      <name val="생거진천체"/>
      <charset val="129"/>
      <family val="3"/>
      <color rgb="FF000000"/>
      <sz val="48"/>
    </font>
    <font>
      <name val="HY궁서B"/>
      <charset val="129"/>
      <family val="1"/>
      <b val="1"/>
      <sz val="48"/>
    </font>
    <font>
      <name val="HY목각파임B"/>
      <charset val="129"/>
      <family val="1"/>
      <b val="1"/>
      <color rgb="FFFF0000"/>
      <sz val="36"/>
    </font>
    <font>
      <name val="HY궁서B"/>
      <charset val="129"/>
      <family val="1"/>
      <b val="1"/>
      <color theme="9"/>
      <sz val="48"/>
    </font>
  </fonts>
  <fills count="19">
    <fill>
      <patternFill/>
    </fill>
    <fill>
      <patternFill patternType="gray125"/>
    </fill>
    <fill>
      <patternFill patternType="solid">
        <fgColor rgb="FFECE4CD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6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0" borderId="0"/>
    <xf numFmtId="9" fontId="2" fillId="0" borderId="0"/>
    <xf numFmtId="0" fontId="15" fillId="0" borderId="0"/>
    <xf numFmtId="0" fontId="2" fillId="0" borderId="0" applyAlignment="1">
      <alignment vertical="center"/>
    </xf>
  </cellStyleXfs>
  <cellXfs count="294">
    <xf numFmtId="0" fontId="0" fillId="0" borderId="0" applyAlignment="1" pivotButton="0" quotePrefix="0" xfId="0">
      <alignment vertical="center"/>
    </xf>
    <xf numFmtId="0" fontId="3" fillId="2" borderId="0" pivotButton="0" quotePrefix="0" xfId="2"/>
    <xf numFmtId="0" fontId="3" fillId="0" borderId="0" pivotButton="0" quotePrefix="0" xfId="2"/>
    <xf numFmtId="0" fontId="6" fillId="2" borderId="0" pivotButton="0" quotePrefix="0" xfId="2"/>
    <xf numFmtId="9" fontId="7" fillId="2" borderId="0" applyAlignment="1" pivotButton="0" quotePrefix="0" xfId="3">
      <alignment vertical="center"/>
    </xf>
    <xf numFmtId="0" fontId="6" fillId="0" borderId="0" pivotButton="0" quotePrefix="0" xfId="2"/>
    <xf numFmtId="9" fontId="8" fillId="0" borderId="0" applyAlignment="1" pivotButton="0" quotePrefix="0" xfId="3">
      <alignment horizontal="center" vertical="center"/>
    </xf>
    <xf numFmtId="9" fontId="9" fillId="0" borderId="0" applyAlignment="1" pivotButton="0" quotePrefix="0" xfId="3">
      <alignment horizontal="center" vertical="center"/>
    </xf>
    <xf numFmtId="9" fontId="10" fillId="0" borderId="0" applyAlignment="1" pivotButton="0" quotePrefix="0" xfId="3">
      <alignment horizontal="center" vertical="center"/>
    </xf>
    <xf numFmtId="0" fontId="11" fillId="2" borderId="0" pivotButton="0" quotePrefix="0" xfId="2"/>
    <xf numFmtId="0" fontId="12" fillId="3" borderId="4" applyAlignment="1" pivotButton="0" quotePrefix="0" xfId="2">
      <alignment horizontal="center" vertical="center"/>
    </xf>
    <xf numFmtId="164" fontId="12" fillId="3" borderId="5" applyAlignment="1" pivotButton="0" quotePrefix="0" xfId="2">
      <alignment horizontal="center" vertical="center"/>
    </xf>
    <xf numFmtId="164" fontId="13" fillId="3" borderId="6" applyAlignment="1" pivotButton="0" quotePrefix="0" xfId="2">
      <alignment horizontal="center" vertical="center"/>
    </xf>
    <xf numFmtId="0" fontId="14" fillId="4" borderId="8" applyAlignment="1" pivotButton="0" quotePrefix="0" xfId="2">
      <alignment horizontal="center" vertical="center" readingOrder="1"/>
    </xf>
    <xf numFmtId="0" fontId="16" fillId="6" borderId="2" applyAlignment="1" pivotButton="0" quotePrefix="0" xfId="4">
      <alignment horizontal="center" vertical="center" shrinkToFit="1"/>
    </xf>
    <xf numFmtId="0" fontId="16" fillId="6" borderId="9" applyAlignment="1" pivotButton="0" quotePrefix="0" xfId="4">
      <alignment horizontal="center" vertical="center" shrinkToFit="1"/>
    </xf>
    <xf numFmtId="0" fontId="14" fillId="6" borderId="11" applyAlignment="1" pivotButton="0" quotePrefix="0" xfId="2">
      <alignment horizontal="center" vertical="center" shrinkToFit="1"/>
    </xf>
    <xf numFmtId="0" fontId="16" fillId="6" borderId="13" applyAlignment="1" pivotButton="0" quotePrefix="0" xfId="4">
      <alignment horizontal="center" vertical="center" shrinkToFit="1"/>
    </xf>
    <xf numFmtId="0" fontId="16" fillId="6" borderId="11" applyAlignment="1" pivotButton="0" quotePrefix="0" xfId="4">
      <alignment horizontal="center" vertical="center" shrinkToFit="1"/>
    </xf>
    <xf numFmtId="0" fontId="16" fillId="6" borderId="14" applyAlignment="1" pivotButton="0" quotePrefix="0" xfId="4">
      <alignment horizontal="center" vertical="center" shrinkToFit="1"/>
    </xf>
    <xf numFmtId="0" fontId="14" fillId="6" borderId="14" applyAlignment="1" pivotButton="0" quotePrefix="0" xfId="2">
      <alignment horizontal="center" vertical="center" shrinkToFit="1"/>
    </xf>
    <xf numFmtId="0" fontId="14" fillId="6" borderId="15" applyAlignment="1" pivotButton="0" quotePrefix="0" xfId="2">
      <alignment horizontal="center" vertical="center" shrinkToFit="1"/>
    </xf>
    <xf numFmtId="0" fontId="14" fillId="4" borderId="16" applyAlignment="1" pivotButton="0" quotePrefix="0" xfId="2">
      <alignment horizontal="center" vertical="center" readingOrder="1"/>
    </xf>
    <xf numFmtId="0" fontId="14" fillId="6" borderId="13" applyAlignment="1" pivotButton="0" quotePrefix="0" xfId="2">
      <alignment horizontal="center" vertical="center" shrinkToFit="1"/>
    </xf>
    <xf numFmtId="0" fontId="16" fillId="6" borderId="15" applyAlignment="1" pivotButton="0" quotePrefix="0" xfId="4">
      <alignment horizontal="center" vertical="center" shrinkToFit="1"/>
    </xf>
    <xf numFmtId="0" fontId="14" fillId="6" borderId="21" applyAlignment="1" pivotButton="0" quotePrefix="0" xfId="2">
      <alignment horizontal="center" vertical="center" wrapText="1" shrinkToFit="1"/>
    </xf>
    <xf numFmtId="0" fontId="14" fillId="6" borderId="17" applyAlignment="1" pivotButton="0" quotePrefix="0" xfId="2">
      <alignment horizontal="center" vertical="center" wrapText="1" shrinkToFit="1"/>
    </xf>
    <xf numFmtId="0" fontId="16" fillId="6" borderId="12" applyAlignment="1" pivotButton="0" quotePrefix="0" xfId="4">
      <alignment horizontal="center" vertical="center" shrinkToFit="1"/>
    </xf>
    <xf numFmtId="0" fontId="11" fillId="2" borderId="0" applyAlignment="1" pivotButton="0" quotePrefix="0" xfId="2">
      <alignment horizontal="center" vertical="center" shrinkToFit="1"/>
    </xf>
    <xf numFmtId="0" fontId="11" fillId="2" borderId="0" applyAlignment="1" pivotButton="0" quotePrefix="0" xfId="2">
      <alignment vertical="center" shrinkToFit="1"/>
    </xf>
    <xf numFmtId="0" fontId="18" fillId="2" borderId="0" applyAlignment="1" pivotButton="0" quotePrefix="0" xfId="2">
      <alignment vertical="center" shrinkToFit="1"/>
    </xf>
    <xf numFmtId="0" fontId="14" fillId="6" borderId="12" applyAlignment="1" pivotButton="0" quotePrefix="0" xfId="2">
      <alignment horizontal="center" vertical="center" shrinkToFit="1"/>
    </xf>
    <xf numFmtId="0" fontId="14" fillId="6" borderId="17" applyAlignment="1" pivotButton="0" quotePrefix="0" xfId="2">
      <alignment horizontal="center" vertical="center" shrinkToFit="1"/>
    </xf>
    <xf numFmtId="0" fontId="14" fillId="4" borderId="0" applyAlignment="1" pivotButton="0" quotePrefix="0" xfId="2">
      <alignment horizontal="center" vertical="center"/>
    </xf>
    <xf numFmtId="0" fontId="14" fillId="4" borderId="11" applyAlignment="1" pivotButton="0" quotePrefix="0" xfId="2">
      <alignment horizontal="center" vertical="center"/>
    </xf>
    <xf numFmtId="0" fontId="16" fillId="6" borderId="25" applyAlignment="1" pivotButton="0" quotePrefix="0" xfId="4">
      <alignment horizontal="center" vertical="center" shrinkToFit="1"/>
    </xf>
    <xf numFmtId="0" fontId="14" fillId="0" borderId="29" applyAlignment="1" pivotButton="0" quotePrefix="0" xfId="2">
      <alignment horizontal="center" vertical="center" shrinkToFit="1"/>
    </xf>
    <xf numFmtId="0" fontId="17" fillId="6" borderId="17" applyAlignment="1" pivotButton="0" quotePrefix="0" xfId="2">
      <alignment horizontal="center" vertical="center" shrinkToFit="1"/>
    </xf>
    <xf numFmtId="0" fontId="17" fillId="6" borderId="25" applyAlignment="1" pivotButton="0" quotePrefix="0" xfId="2">
      <alignment horizontal="center" vertical="center" shrinkToFit="1"/>
    </xf>
    <xf numFmtId="0" fontId="17" fillId="6" borderId="13" applyAlignment="1" pivotButton="0" quotePrefix="0" xfId="2">
      <alignment horizontal="center" vertical="center" shrinkToFit="1"/>
    </xf>
    <xf numFmtId="0" fontId="14" fillId="6" borderId="30" applyAlignment="1" pivotButton="0" quotePrefix="0" xfId="2">
      <alignment horizontal="center" vertical="center" shrinkToFit="1"/>
    </xf>
    <xf numFmtId="0" fontId="14" fillId="0" borderId="31" applyAlignment="1" pivotButton="0" quotePrefix="0" xfId="2">
      <alignment horizontal="center" vertical="center" shrinkToFit="1"/>
    </xf>
    <xf numFmtId="0" fontId="14" fillId="0" borderId="15" applyAlignment="1" pivotButton="0" quotePrefix="0" xfId="2">
      <alignment horizontal="center" vertical="center" shrinkToFit="1"/>
    </xf>
    <xf numFmtId="0" fontId="14" fillId="6" borderId="36" applyAlignment="1" pivotButton="0" quotePrefix="0" xfId="2">
      <alignment horizontal="center" vertical="center" shrinkToFit="1"/>
    </xf>
    <xf numFmtId="0" fontId="14" fillId="6" borderId="37" applyAlignment="1" pivotButton="0" quotePrefix="0" xfId="2">
      <alignment horizontal="center" vertical="center" shrinkToFit="1"/>
    </xf>
    <xf numFmtId="0" fontId="19" fillId="2" borderId="0" applyAlignment="1" pivotButton="0" quotePrefix="0" xfId="2">
      <alignment horizontal="center" vertical="center" readingOrder="1"/>
    </xf>
    <xf numFmtId="3" fontId="19" fillId="2" borderId="0" applyAlignment="1" pivotButton="0" quotePrefix="0" xfId="2">
      <alignment horizontal="center" vertical="center" shrinkToFit="1"/>
    </xf>
    <xf numFmtId="0" fontId="20" fillId="2" borderId="0" applyAlignment="1" pivotButton="0" quotePrefix="0" xfId="2">
      <alignment vertical="center"/>
    </xf>
    <xf numFmtId="0" fontId="20" fillId="0" borderId="0" applyAlignment="1" pivotButton="0" quotePrefix="0" xfId="2">
      <alignment vertical="center"/>
    </xf>
    <xf numFmtId="0" fontId="22" fillId="0" borderId="0" pivotButton="0" quotePrefix="0" xfId="2"/>
    <xf numFmtId="0" fontId="14" fillId="4" borderId="14" applyAlignment="1" pivotButton="0" quotePrefix="0" xfId="2">
      <alignment horizontal="center" vertical="center" readingOrder="1"/>
    </xf>
    <xf numFmtId="0" fontId="14" fillId="4" borderId="10" applyAlignment="1" pivotButton="0" quotePrefix="0" xfId="2">
      <alignment horizontal="center" vertical="center"/>
    </xf>
    <xf numFmtId="0" fontId="23" fillId="0" borderId="0" pivotButton="0" quotePrefix="0" xfId="2"/>
    <xf numFmtId="0" fontId="23" fillId="0" borderId="0" applyAlignment="1" pivotButton="0" quotePrefix="0" xfId="2">
      <alignment vertical="center"/>
    </xf>
    <xf numFmtId="0" fontId="14" fillId="4" borderId="10" applyAlignment="1" pivotButton="0" quotePrefix="0" xfId="2">
      <alignment horizontal="center" vertical="center" readingOrder="1"/>
    </xf>
    <xf numFmtId="0" fontId="14" fillId="4" borderId="0" applyAlignment="1" pivotButton="0" quotePrefix="0" xfId="2">
      <alignment horizontal="center" vertical="center" readingOrder="1"/>
    </xf>
    <xf numFmtId="0" fontId="14" fillId="8" borderId="24" applyAlignment="1" pivotButton="0" quotePrefix="0" xfId="2">
      <alignment horizontal="center" vertical="center" readingOrder="1"/>
    </xf>
    <xf numFmtId="0" fontId="14" fillId="8" borderId="25" applyAlignment="1" pivotButton="0" quotePrefix="0" xfId="2">
      <alignment horizontal="center" vertical="center" readingOrder="1"/>
    </xf>
    <xf numFmtId="0" fontId="24" fillId="8" borderId="11" applyAlignment="1" pivotButton="0" quotePrefix="0" xfId="2">
      <alignment horizontal="center" vertical="center" wrapText="1"/>
    </xf>
    <xf numFmtId="165" fontId="14" fillId="0" borderId="11" applyAlignment="1" pivotButton="0" quotePrefix="0" xfId="1">
      <alignment horizontal="center" vertical="center" wrapText="1" shrinkToFit="1"/>
    </xf>
    <xf numFmtId="165" fontId="14" fillId="0" borderId="14" applyAlignment="1" pivotButton="0" quotePrefix="0" xfId="1">
      <alignment horizontal="center" vertical="center" wrapText="1" shrinkToFit="1"/>
    </xf>
    <xf numFmtId="165" fontId="14" fillId="6" borderId="12" applyAlignment="1" pivotButton="0" quotePrefix="0" xfId="1">
      <alignment horizontal="center" vertical="center" wrapText="1" shrinkToFit="1"/>
    </xf>
    <xf numFmtId="165" fontId="14" fillId="6" borderId="11" applyAlignment="1" pivotButton="0" quotePrefix="0" xfId="1">
      <alignment horizontal="center" vertical="center" wrapText="1" shrinkToFit="1"/>
    </xf>
    <xf numFmtId="165" fontId="14" fillId="6" borderId="14" applyAlignment="1" pivotButton="0" quotePrefix="0" xfId="1">
      <alignment horizontal="center" vertical="center" wrapText="1" shrinkToFit="1"/>
    </xf>
    <xf numFmtId="164" fontId="13" fillId="3" borderId="9" applyAlignment="1" pivotButton="0" quotePrefix="0" xfId="2">
      <alignment horizontal="center" vertical="center"/>
    </xf>
    <xf numFmtId="0" fontId="28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0" fillId="0" borderId="50" applyAlignment="1" pivotButton="0" quotePrefix="0" xfId="5">
      <alignment horizontal="center" vertical="center"/>
    </xf>
    <xf numFmtId="0" fontId="30" fillId="0" borderId="51" applyAlignment="1" pivotButton="0" quotePrefix="0" xfId="5">
      <alignment horizontal="center" vertical="center"/>
    </xf>
    <xf numFmtId="0" fontId="30" fillId="0" borderId="19" applyAlignment="1" pivotButton="0" quotePrefix="0" xfId="5">
      <alignment horizontal="center" vertical="center"/>
    </xf>
    <xf numFmtId="0" fontId="32" fillId="0" borderId="0" applyAlignment="1" pivotButton="0" quotePrefix="0" xfId="0">
      <alignment vertical="center"/>
    </xf>
    <xf numFmtId="20" fontId="30" fillId="0" borderId="45" applyAlignment="1" pivotButton="0" quotePrefix="0" xfId="5">
      <alignment horizontal="center" vertical="center"/>
    </xf>
    <xf numFmtId="0" fontId="30" fillId="0" borderId="53" applyAlignment="1" pivotButton="0" quotePrefix="0" xfId="5">
      <alignment horizontal="center" vertical="center"/>
    </xf>
    <xf numFmtId="0" fontId="3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0" fillId="0" borderId="16" applyAlignment="1" pivotButton="0" quotePrefix="0" xfId="5">
      <alignment horizontal="center" vertical="center"/>
    </xf>
    <xf numFmtId="0" fontId="30" fillId="0" borderId="20" applyAlignment="1" pivotButton="0" quotePrefix="0" xfId="5">
      <alignment horizontal="center" vertical="center"/>
    </xf>
    <xf numFmtId="0" fontId="30" fillId="0" borderId="18" applyAlignment="1" pivotButton="0" quotePrefix="0" xfId="5">
      <alignment horizontal="center" vertical="center"/>
    </xf>
    <xf numFmtId="20" fontId="30" fillId="0" borderId="52" applyAlignment="1" pivotButton="0" quotePrefix="0" xfId="5">
      <alignment horizontal="center" vertical="center"/>
    </xf>
    <xf numFmtId="0" fontId="30" fillId="0" borderId="61" applyAlignment="1" pivotButton="0" quotePrefix="0" xfId="5">
      <alignment horizontal="center" vertical="center"/>
    </xf>
    <xf numFmtId="0" fontId="30" fillId="0" borderId="62" applyAlignment="1" pivotButton="0" quotePrefix="0" xfId="5">
      <alignment horizontal="center" vertical="center"/>
    </xf>
    <xf numFmtId="165" fontId="14" fillId="6" borderId="14" applyAlignment="1" pivotButton="0" quotePrefix="0" xfId="1">
      <alignment vertical="center" wrapText="1" shrinkToFit="1"/>
    </xf>
    <xf numFmtId="165" fontId="14" fillId="6" borderId="17" applyAlignment="1" pivotButton="0" quotePrefix="0" xfId="1">
      <alignment horizontal="center" vertical="center" wrapText="1" shrinkToFit="1"/>
    </xf>
    <xf numFmtId="165" fontId="14" fillId="6" borderId="13" applyAlignment="1" pivotButton="0" quotePrefix="0" xfId="1">
      <alignment horizontal="center" vertical="center" wrapText="1" shrinkToFit="1"/>
    </xf>
    <xf numFmtId="165" fontId="14" fillId="6" borderId="15" applyAlignment="1" pivotButton="0" quotePrefix="0" xfId="1">
      <alignment horizontal="center" vertical="center" wrapText="1" shrinkToFit="1"/>
    </xf>
    <xf numFmtId="0" fontId="29" fillId="12" borderId="43" applyAlignment="1" pivotButton="0" quotePrefix="0" xfId="5">
      <alignment horizontal="center" vertical="center" wrapText="1"/>
    </xf>
    <xf numFmtId="0" fontId="29" fillId="13" borderId="43" applyAlignment="1" pivotButton="0" quotePrefix="0" xfId="5">
      <alignment horizontal="center" vertical="center" wrapText="1"/>
    </xf>
    <xf numFmtId="0" fontId="29" fillId="14" borderId="43" applyAlignment="1" pivotButton="0" quotePrefix="0" xfId="5">
      <alignment horizontal="center" vertical="center" wrapText="1"/>
    </xf>
    <xf numFmtId="0" fontId="29" fillId="15" borderId="43" applyAlignment="1" pivotButton="0" quotePrefix="0" xfId="5">
      <alignment horizontal="center" vertical="center" wrapText="1"/>
    </xf>
    <xf numFmtId="0" fontId="29" fillId="16" borderId="43" applyAlignment="1" pivotButton="0" quotePrefix="0" xfId="5">
      <alignment horizontal="center" vertical="center" wrapText="1"/>
    </xf>
    <xf numFmtId="0" fontId="16" fillId="6" borderId="22" applyAlignment="1" pivotButton="0" quotePrefix="0" xfId="4">
      <alignment horizontal="center" vertical="center" shrinkToFit="1"/>
    </xf>
    <xf numFmtId="0" fontId="16" fillId="6" borderId="27" applyAlignment="1" pivotButton="0" quotePrefix="0" xfId="4">
      <alignment horizontal="center" vertical="center" shrinkToFit="1"/>
    </xf>
    <xf numFmtId="0" fontId="42" fillId="6" borderId="17" applyAlignment="1" pivotButton="0" quotePrefix="0" xfId="4">
      <alignment horizontal="left" vertical="center" wrapText="1" shrinkToFit="1"/>
    </xf>
    <xf numFmtId="0" fontId="43" fillId="0" borderId="0" pivotButton="0" quotePrefix="0" xfId="2"/>
    <xf numFmtId="0" fontId="16" fillId="6" borderId="24" applyAlignment="1" pivotButton="0" quotePrefix="0" xfId="4">
      <alignment horizontal="center" vertical="center" shrinkToFit="1"/>
    </xf>
    <xf numFmtId="0" fontId="14" fillId="6" borderId="27" applyAlignment="1" pivotButton="0" quotePrefix="0" xfId="2">
      <alignment horizontal="center" vertical="center" shrinkToFit="1"/>
    </xf>
    <xf numFmtId="0" fontId="14" fillId="6" borderId="27" applyAlignment="1" pivotButton="0" quotePrefix="1" xfId="2">
      <alignment horizontal="center" vertical="center" shrinkToFit="1"/>
    </xf>
    <xf numFmtId="0" fontId="14" fillId="6" borderId="11" applyAlignment="1" pivotButton="0" quotePrefix="0" xfId="2">
      <alignment horizontal="center" vertical="center" wrapText="1" shrinkToFit="1"/>
    </xf>
    <xf numFmtId="0" fontId="14" fillId="6" borderId="12" applyAlignment="1" pivotButton="0" quotePrefix="0" xfId="2">
      <alignment horizontal="center" vertical="center" wrapText="1" shrinkToFit="1"/>
    </xf>
    <xf numFmtId="0" fontId="14" fillId="6" borderId="14" applyAlignment="1" pivotButton="0" quotePrefix="0" xfId="2">
      <alignment horizontal="center" vertical="center" wrapText="1" shrinkToFit="1"/>
    </xf>
    <xf numFmtId="0" fontId="16" fillId="6" borderId="16" applyAlignment="1" pivotButton="0" quotePrefix="0" xfId="4">
      <alignment horizontal="center" vertical="center" shrinkToFit="1"/>
    </xf>
    <xf numFmtId="0" fontId="44" fillId="0" borderId="0" pivotButton="0" quotePrefix="0" xfId="2"/>
    <xf numFmtId="0" fontId="14" fillId="0" borderId="21" applyAlignment="1" pivotButton="0" quotePrefix="0" xfId="2">
      <alignment horizontal="center" vertical="center" shrinkToFit="1"/>
    </xf>
    <xf numFmtId="0" fontId="14" fillId="6" borderId="25" applyAlignment="1" pivotButton="0" quotePrefix="0" xfId="2">
      <alignment horizontal="center" vertical="center" shrinkToFit="1"/>
    </xf>
    <xf numFmtId="0" fontId="14" fillId="0" borderId="23" applyAlignment="1" pivotButton="0" quotePrefix="0" xfId="2">
      <alignment horizontal="center" vertical="center" shrinkToFit="1"/>
    </xf>
    <xf numFmtId="0" fontId="14" fillId="6" borderId="13" applyAlignment="1" pivotButton="0" quotePrefix="0" xfId="2">
      <alignment horizontal="center" vertical="center" wrapText="1" shrinkToFit="1"/>
    </xf>
    <xf numFmtId="0" fontId="16" fillId="6" borderId="4" applyAlignment="1" pivotButton="0" quotePrefix="0" xfId="4">
      <alignment horizontal="center" vertical="center" shrinkToFit="1"/>
    </xf>
    <xf numFmtId="0" fontId="14" fillId="6" borderId="24" applyAlignment="1" pivotButton="0" quotePrefix="0" xfId="2">
      <alignment horizontal="center" vertical="center" shrinkToFit="1"/>
    </xf>
    <xf numFmtId="0" fontId="39" fillId="6" borderId="17" applyAlignment="1" pivotButton="0" quotePrefix="0" xfId="4">
      <alignment wrapText="1" shrinkToFit="1"/>
    </xf>
    <xf numFmtId="0" fontId="14" fillId="0" borderId="12" applyAlignment="1" pivotButton="0" quotePrefix="0" xfId="2">
      <alignment horizontal="center" vertical="center" shrinkToFit="1"/>
    </xf>
    <xf numFmtId="0" fontId="17" fillId="6" borderId="11" applyAlignment="1" pivotButton="0" quotePrefix="0" xfId="2">
      <alignment horizontal="center" vertical="center" shrinkToFit="1"/>
    </xf>
    <xf numFmtId="0" fontId="14" fillId="0" borderId="14" applyAlignment="1" pivotButton="0" quotePrefix="0" xfId="2">
      <alignment horizontal="center" vertical="center" shrinkToFit="1"/>
    </xf>
    <xf numFmtId="165" fontId="45" fillId="0" borderId="12" applyAlignment="1" pivotButton="0" quotePrefix="0" xfId="1">
      <alignment horizontal="center" vertical="center" wrapText="1" shrinkToFit="1"/>
    </xf>
    <xf numFmtId="164" fontId="12" fillId="3" borderId="63" applyAlignment="1" pivotButton="0" quotePrefix="0" xfId="2">
      <alignment horizontal="center" vertical="center"/>
    </xf>
    <xf numFmtId="0" fontId="40" fillId="6" borderId="15" applyAlignment="1" pivotButton="0" quotePrefix="0" xfId="4">
      <alignment wrapText="1" shrinkToFit="1"/>
    </xf>
    <xf numFmtId="0" fontId="47" fillId="6" borderId="64" applyAlignment="1" pivotButton="0" quotePrefix="0" xfId="2">
      <alignment horizontal="left" vertical="center" shrinkToFit="1"/>
    </xf>
    <xf numFmtId="0" fontId="41" fillId="6" borderId="19" applyAlignment="1" pivotButton="0" quotePrefix="0" xfId="2">
      <alignment horizontal="center" vertical="center" shrinkToFit="1"/>
    </xf>
    <xf numFmtId="0" fontId="48" fillId="6" borderId="16" applyAlignment="1" pivotButton="0" quotePrefix="0" xfId="2">
      <alignment horizontal="center" vertical="center" shrinkToFit="1"/>
    </xf>
    <xf numFmtId="0" fontId="49" fillId="6" borderId="16" applyAlignment="1" pivotButton="0" quotePrefix="0" xfId="2">
      <alignment horizontal="center" vertical="center" shrinkToFit="1"/>
    </xf>
    <xf numFmtId="0" fontId="21" fillId="2" borderId="0" applyAlignment="1" pivotButton="0" quotePrefix="0" xfId="2">
      <alignment horizontal="left" vertical="top" wrapText="1" shrinkToFit="1"/>
    </xf>
    <xf numFmtId="0" fontId="14" fillId="4" borderId="21" applyAlignment="1" pivotButton="0" quotePrefix="0" xfId="2">
      <alignment horizontal="center" vertical="center"/>
    </xf>
    <xf numFmtId="0" fontId="14" fillId="4" borderId="22" applyAlignment="1" pivotButton="0" quotePrefix="0" xfId="2">
      <alignment horizontal="center" vertical="center"/>
    </xf>
    <xf numFmtId="0" fontId="14" fillId="4" borderId="23" applyAlignment="1" pivotButton="0" quotePrefix="0" xfId="2">
      <alignment horizontal="center" vertical="center"/>
    </xf>
    <xf numFmtId="0" fontId="14" fillId="4" borderId="24" applyAlignment="1" pivotButton="0" quotePrefix="0" xfId="2">
      <alignment horizontal="center" vertical="center"/>
    </xf>
    <xf numFmtId="0" fontId="14" fillId="4" borderId="26" applyAlignment="1" pivotButton="0" quotePrefix="0" xfId="2">
      <alignment horizontal="center" vertical="center" readingOrder="1"/>
    </xf>
    <xf numFmtId="0" fontId="14" fillId="4" borderId="28" applyAlignment="1" pivotButton="0" quotePrefix="0" xfId="2">
      <alignment horizontal="center" vertical="center" readingOrder="1"/>
    </xf>
    <xf numFmtId="0" fontId="14" fillId="4" borderId="10" applyAlignment="1" pivotButton="0" quotePrefix="0" xfId="2">
      <alignment horizontal="center" vertical="center" readingOrder="1"/>
    </xf>
    <xf numFmtId="0" fontId="14" fillId="4" borderId="0" applyAlignment="1" pivotButton="0" quotePrefix="0" xfId="2">
      <alignment horizontal="center" vertical="center" readingOrder="1"/>
    </xf>
    <xf numFmtId="0" fontId="14" fillId="4" borderId="32" applyAlignment="1" pivotButton="0" quotePrefix="0" xfId="2">
      <alignment horizontal="center" vertical="center" readingOrder="1"/>
    </xf>
    <xf numFmtId="0" fontId="14" fillId="4" borderId="33" applyAlignment="1" pivotButton="0" quotePrefix="0" xfId="2">
      <alignment horizontal="center" vertical="center" readingOrder="1"/>
    </xf>
    <xf numFmtId="0" fontId="14" fillId="10" borderId="12" applyAlignment="1" pivotButton="0" quotePrefix="0" xfId="2">
      <alignment horizontal="center" vertical="center" wrapText="1" readingOrder="1"/>
    </xf>
    <xf numFmtId="0" fontId="14" fillId="10" borderId="11" applyAlignment="1" pivotButton="0" quotePrefix="0" xfId="2">
      <alignment horizontal="center" vertical="center" readingOrder="1"/>
    </xf>
    <xf numFmtId="0" fontId="14" fillId="10" borderId="14" applyAlignment="1" pivotButton="0" quotePrefix="0" xfId="2">
      <alignment horizontal="center" vertical="center" readingOrder="1"/>
    </xf>
    <xf numFmtId="0" fontId="14" fillId="4" borderId="12" applyAlignment="1" pivotButton="0" quotePrefix="0" xfId="2">
      <alignment horizontal="center" vertical="center" readingOrder="1"/>
    </xf>
    <xf numFmtId="0" fontId="14" fillId="4" borderId="11" applyAlignment="1" pivotButton="0" quotePrefix="0" xfId="2">
      <alignment horizontal="center" vertical="center" readingOrder="1"/>
    </xf>
    <xf numFmtId="0" fontId="14" fillId="4" borderId="14" applyAlignment="1" pivotButton="0" quotePrefix="0" xfId="2">
      <alignment horizontal="center" vertical="center" readingOrder="1"/>
    </xf>
    <xf numFmtId="0" fontId="14" fillId="8" borderId="21" applyAlignment="1" pivotButton="0" quotePrefix="0" xfId="2">
      <alignment horizontal="center" vertical="center" wrapText="1" readingOrder="1"/>
    </xf>
    <xf numFmtId="0" fontId="14" fillId="8" borderId="22" applyAlignment="1" pivotButton="0" quotePrefix="0" xfId="2">
      <alignment horizontal="center" vertical="center" readingOrder="1"/>
    </xf>
    <xf numFmtId="0" fontId="14" fillId="8" borderId="34" applyAlignment="1" pivotButton="0" quotePrefix="0" xfId="2">
      <alignment horizontal="center" vertical="center" readingOrder="1"/>
    </xf>
    <xf numFmtId="0" fontId="14" fillId="8" borderId="35" applyAlignment="1" pivotButton="0" quotePrefix="0" xfId="2">
      <alignment horizontal="center" vertical="center" readingOrder="1"/>
    </xf>
    <xf numFmtId="0" fontId="14" fillId="4" borderId="26" applyAlignment="1" pivotButton="0" quotePrefix="0" xfId="2">
      <alignment horizontal="center" vertical="center"/>
    </xf>
    <xf numFmtId="0" fontId="14" fillId="4" borderId="10" applyAlignment="1" pivotButton="0" quotePrefix="0" xfId="2">
      <alignment horizontal="center" vertical="center"/>
    </xf>
    <xf numFmtId="0" fontId="14" fillId="4" borderId="27" applyAlignment="1" pivotButton="0" quotePrefix="0" xfId="2">
      <alignment horizontal="center" vertical="center"/>
    </xf>
    <xf numFmtId="0" fontId="14" fillId="9" borderId="12" applyAlignment="1" pivotButton="0" quotePrefix="0" xfId="2">
      <alignment horizontal="center" vertical="center" wrapText="1" readingOrder="1"/>
    </xf>
    <xf numFmtId="0" fontId="14" fillId="9" borderId="11" applyAlignment="1" pivotButton="0" quotePrefix="0" xfId="2">
      <alignment horizontal="center" vertical="center" readingOrder="1"/>
    </xf>
    <xf numFmtId="0" fontId="14" fillId="9" borderId="14" applyAlignment="1" pivotButton="0" quotePrefix="0" xfId="2">
      <alignment horizontal="center" vertical="center" readingOrder="1"/>
    </xf>
    <xf numFmtId="0" fontId="14" fillId="7" borderId="27" applyAlignment="1" pivotButton="0" quotePrefix="0" xfId="2">
      <alignment horizontal="center" vertical="center" wrapText="1" readingOrder="1"/>
    </xf>
    <xf numFmtId="0" fontId="14" fillId="7" borderId="27" applyAlignment="1" pivotButton="0" quotePrefix="0" xfId="2">
      <alignment horizontal="center" vertical="center" readingOrder="1"/>
    </xf>
    <xf numFmtId="0" fontId="40" fillId="6" borderId="13" applyAlignment="1" pivotButton="0" quotePrefix="0" xfId="4">
      <alignment horizontal="center" vertical="center" wrapText="1" shrinkToFit="1"/>
    </xf>
    <xf numFmtId="0" fontId="46" fillId="6" borderId="13" applyAlignment="1" pivotButton="0" quotePrefix="0" xfId="4">
      <alignment horizontal="center" vertical="center" wrapText="1" shrinkToFit="1"/>
    </xf>
    <xf numFmtId="9" fontId="5" fillId="2" borderId="0" applyAlignment="1" pivotButton="0" quotePrefix="0" xfId="3">
      <alignment horizontal="center" vertical="center"/>
    </xf>
    <xf numFmtId="0" fontId="12" fillId="3" borderId="1" applyAlignment="1" pivotButton="0" quotePrefix="0" xfId="2">
      <alignment horizontal="center" vertical="center"/>
    </xf>
    <xf numFmtId="0" fontId="12" fillId="3" borderId="2" applyAlignment="1" pivotButton="0" quotePrefix="0" xfId="2">
      <alignment horizontal="center" vertical="center"/>
    </xf>
    <xf numFmtId="0" fontId="12" fillId="3" borderId="3" applyAlignment="1" pivotButton="0" quotePrefix="0" xfId="2">
      <alignment horizontal="center" vertical="center"/>
    </xf>
    <xf numFmtId="0" fontId="14" fillId="4" borderId="7" applyAlignment="1" pivotButton="0" quotePrefix="0" xfId="2">
      <alignment horizontal="center" vertical="center" readingOrder="1"/>
    </xf>
    <xf numFmtId="0" fontId="14" fillId="4" borderId="5" applyAlignment="1" pivotButton="0" quotePrefix="0" xfId="2">
      <alignment horizontal="center" vertical="center" readingOrder="1"/>
    </xf>
    <xf numFmtId="0" fontId="14" fillId="4" borderId="27" applyAlignment="1" pivotButton="0" quotePrefix="0" xfId="2">
      <alignment horizontal="center" vertical="center" readingOrder="1"/>
    </xf>
    <xf numFmtId="0" fontId="14" fillId="4" borderId="38" applyAlignment="1" pivotButton="0" quotePrefix="0" xfId="2">
      <alignment horizontal="center" vertical="center" readingOrder="1"/>
    </xf>
    <xf numFmtId="0" fontId="14" fillId="4" borderId="24" applyAlignment="1" pivotButton="0" quotePrefix="0" xfId="2">
      <alignment horizontal="center" vertical="center" readingOrder="1"/>
    </xf>
    <xf numFmtId="0" fontId="14" fillId="5" borderId="2" applyAlignment="1" pivotButton="0" quotePrefix="0" xfId="2">
      <alignment horizontal="center" vertical="center" wrapText="1" readingOrder="1"/>
    </xf>
    <xf numFmtId="0" fontId="14" fillId="5" borderId="11" applyAlignment="1" pivotButton="0" quotePrefix="0" xfId="2">
      <alignment horizontal="center" vertical="center" readingOrder="1"/>
    </xf>
    <xf numFmtId="0" fontId="14" fillId="7" borderId="12" applyAlignment="1" pivotButton="0" quotePrefix="0" xfId="2">
      <alignment horizontal="center" vertical="center" wrapText="1" readingOrder="1"/>
    </xf>
    <xf numFmtId="0" fontId="14" fillId="7" borderId="11" applyAlignment="1" pivotButton="0" quotePrefix="0" xfId="2">
      <alignment horizontal="center" vertical="center" readingOrder="1"/>
    </xf>
    <xf numFmtId="0" fontId="14" fillId="7" borderId="14" applyAlignment="1" pivotButton="0" quotePrefix="0" xfId="2">
      <alignment horizontal="center" vertical="center" readingOrder="1"/>
    </xf>
    <xf numFmtId="0" fontId="14" fillId="8" borderId="23" applyAlignment="1" pivotButton="0" quotePrefix="0" xfId="2">
      <alignment horizontal="center" vertical="center" readingOrder="1"/>
    </xf>
    <xf numFmtId="0" fontId="14" fillId="8" borderId="24" applyAlignment="1" pivotButton="0" quotePrefix="0" xfId="2">
      <alignment horizontal="center" vertical="center" readingOrder="1"/>
    </xf>
    <xf numFmtId="0" fontId="25" fillId="11" borderId="40" applyAlignment="1" pivotButton="0" quotePrefix="0" xfId="5">
      <alignment horizontal="center" vertical="center"/>
    </xf>
    <xf numFmtId="0" fontId="25" fillId="11" borderId="41" applyAlignment="1" pivotButton="0" quotePrefix="0" xfId="5">
      <alignment horizontal="center" vertical="center"/>
    </xf>
    <xf numFmtId="0" fontId="25" fillId="11" borderId="42" applyAlignment="1" pivotButton="0" quotePrefix="0" xfId="5">
      <alignment horizontal="center" vertical="center"/>
    </xf>
    <xf numFmtId="0" fontId="29" fillId="12" borderId="43" applyAlignment="1" pivotButton="0" quotePrefix="0" xfId="5">
      <alignment horizontal="center" vertical="center" wrapText="1"/>
    </xf>
    <xf numFmtId="0" fontId="29" fillId="12" borderId="48" applyAlignment="1" pivotButton="0" quotePrefix="0" xfId="5">
      <alignment horizontal="center" vertical="center"/>
    </xf>
    <xf numFmtId="0" fontId="30" fillId="7" borderId="18" applyAlignment="1" pivotButton="0" quotePrefix="0" xfId="5">
      <alignment horizontal="center" vertical="center"/>
    </xf>
    <xf numFmtId="0" fontId="30" fillId="7" borderId="44" applyAlignment="1" pivotButton="0" quotePrefix="0" xfId="5">
      <alignment horizontal="center" vertical="center"/>
    </xf>
    <xf numFmtId="0" fontId="30" fillId="7" borderId="45" applyAlignment="1" pivotButton="0" quotePrefix="0" xfId="5">
      <alignment horizontal="center" vertical="center"/>
    </xf>
    <xf numFmtId="0" fontId="29" fillId="13" borderId="43" applyAlignment="1" pivotButton="0" quotePrefix="0" xfId="5">
      <alignment horizontal="center" vertical="center" wrapText="1"/>
    </xf>
    <xf numFmtId="0" fontId="29" fillId="13" borderId="48" applyAlignment="1" pivotButton="0" quotePrefix="0" xfId="5">
      <alignment horizontal="center" vertical="center"/>
    </xf>
    <xf numFmtId="0" fontId="30" fillId="7" borderId="21" applyAlignment="1" pivotButton="0" quotePrefix="0" xfId="5">
      <alignment horizontal="center" vertical="center"/>
    </xf>
    <xf numFmtId="0" fontId="30" fillId="7" borderId="28" applyAlignment="1" pivotButton="0" quotePrefix="0" xfId="5">
      <alignment horizontal="center" vertical="center"/>
    </xf>
    <xf numFmtId="0" fontId="30" fillId="7" borderId="46" applyAlignment="1" pivotButton="0" quotePrefix="0" xfId="5">
      <alignment horizontal="center" vertical="center"/>
    </xf>
    <xf numFmtId="0" fontId="29" fillId="14" borderId="43" applyAlignment="1" pivotButton="0" quotePrefix="0" xfId="5">
      <alignment horizontal="center" vertical="center" wrapText="1"/>
    </xf>
    <xf numFmtId="0" fontId="29" fillId="14" borderId="48" applyAlignment="1" pivotButton="0" quotePrefix="0" xfId="5">
      <alignment horizontal="center" vertical="center"/>
    </xf>
    <xf numFmtId="0" fontId="29" fillId="15" borderId="47" applyAlignment="1" pivotButton="0" quotePrefix="0" xfId="5">
      <alignment horizontal="center" vertical="center" wrapText="1"/>
    </xf>
    <xf numFmtId="0" fontId="29" fillId="15" borderId="49" applyAlignment="1" pivotButton="0" quotePrefix="0" xfId="5">
      <alignment horizontal="center" vertical="center"/>
    </xf>
    <xf numFmtId="0" fontId="30" fillId="7" borderId="39" applyAlignment="1" pivotButton="0" quotePrefix="0" xfId="5">
      <alignment horizontal="center" vertical="center"/>
    </xf>
    <xf numFmtId="0" fontId="29" fillId="16" borderId="22" applyAlignment="1" pivotButton="0" quotePrefix="0" xfId="5">
      <alignment horizontal="center" vertical="center" wrapText="1"/>
    </xf>
    <xf numFmtId="0" fontId="29" fillId="16" borderId="27" applyAlignment="1" pivotButton="0" quotePrefix="0" xfId="5">
      <alignment horizontal="center" vertical="center" wrapText="1"/>
    </xf>
    <xf numFmtId="0" fontId="33" fillId="6" borderId="18" applyAlignment="1" pivotButton="0" quotePrefix="0" xfId="5">
      <alignment horizontal="left" vertical="center" wrapText="1"/>
    </xf>
    <xf numFmtId="0" fontId="33" fillId="6" borderId="44" applyAlignment="1" pivotButton="0" quotePrefix="0" xfId="5">
      <alignment horizontal="left" vertical="center"/>
    </xf>
    <xf numFmtId="0" fontId="33" fillId="6" borderId="45" applyAlignment="1" pivotButton="0" quotePrefix="0" xfId="5">
      <alignment horizontal="left" vertical="center"/>
    </xf>
    <xf numFmtId="0" fontId="33" fillId="6" borderId="52" applyAlignment="1" pivotButton="0" quotePrefix="0" xfId="5">
      <alignment horizontal="left" vertical="center"/>
    </xf>
    <xf numFmtId="0" fontId="30" fillId="0" borderId="18" applyAlignment="1" pivotButton="0" quotePrefix="0" xfId="5">
      <alignment horizontal="center" vertical="center"/>
    </xf>
    <xf numFmtId="0" fontId="30" fillId="0" borderId="44" applyAlignment="1" pivotButton="0" quotePrefix="0" xfId="5">
      <alignment horizontal="center" vertical="center"/>
    </xf>
    <xf numFmtId="0" fontId="30" fillId="0" borderId="45" applyAlignment="1" pivotButton="0" quotePrefix="0" xfId="5">
      <alignment horizontal="center" vertical="center"/>
    </xf>
    <xf numFmtId="0" fontId="30" fillId="0" borderId="52" applyAlignment="1" pivotButton="0" quotePrefix="0" xfId="5">
      <alignment horizontal="center" vertical="center"/>
    </xf>
    <xf numFmtId="166" fontId="30" fillId="0" borderId="18" applyAlignment="1" pivotButton="0" quotePrefix="0" xfId="5">
      <alignment horizontal="center" vertical="center"/>
    </xf>
    <xf numFmtId="166" fontId="30" fillId="0" borderId="44" applyAlignment="1" pivotButton="0" quotePrefix="0" xfId="5">
      <alignment horizontal="center" vertical="center"/>
    </xf>
    <xf numFmtId="0" fontId="30" fillId="0" borderId="54" applyAlignment="1" pivotButton="0" quotePrefix="0" xfId="5">
      <alignment horizontal="center" vertical="center"/>
    </xf>
    <xf numFmtId="0" fontId="30" fillId="0" borderId="55" applyAlignment="1" pivotButton="0" quotePrefix="0" xfId="5">
      <alignment horizontal="center" vertical="center"/>
    </xf>
    <xf numFmtId="0" fontId="30" fillId="0" borderId="56" applyAlignment="1" pivotButton="0" quotePrefix="0" xfId="5">
      <alignment horizontal="center" vertical="center"/>
    </xf>
    <xf numFmtId="0" fontId="30" fillId="0" borderId="57" applyAlignment="1" pivotButton="0" quotePrefix="0" xfId="5">
      <alignment horizontal="center" vertical="center"/>
    </xf>
    <xf numFmtId="0" fontId="30" fillId="0" borderId="58" applyAlignment="1" pivotButton="0" quotePrefix="0" xfId="5">
      <alignment horizontal="center" vertical="center"/>
    </xf>
    <xf numFmtId="0" fontId="30" fillId="0" borderId="59" applyAlignment="1" pivotButton="0" quotePrefix="0" xfId="5">
      <alignment horizontal="center" vertical="center"/>
    </xf>
    <xf numFmtId="0" fontId="30" fillId="0" borderId="18" applyAlignment="1" pivotButton="0" quotePrefix="0" xfId="5">
      <alignment horizontal="center" vertical="center"/>
    </xf>
    <xf numFmtId="0" fontId="30" fillId="0" borderId="44" applyAlignment="1" pivotButton="0" quotePrefix="0" xfId="5">
      <alignment horizontal="center" vertical="center"/>
    </xf>
    <xf numFmtId="0" fontId="30" fillId="0" borderId="45" applyAlignment="1" pivotButton="0" quotePrefix="0" xfId="5">
      <alignment horizontal="center" vertical="center"/>
    </xf>
    <xf numFmtId="0" fontId="29" fillId="15" borderId="43" applyAlignment="1" pivotButton="0" quotePrefix="0" xfId="5">
      <alignment horizontal="center" vertical="center" wrapText="1"/>
    </xf>
    <xf numFmtId="0" fontId="29" fillId="15" borderId="48" applyAlignment="1" pivotButton="0" quotePrefix="0" xfId="5">
      <alignment horizontal="center" vertical="center"/>
    </xf>
    <xf numFmtId="0" fontId="29" fillId="16" borderId="43" applyAlignment="1" pivotButton="0" quotePrefix="0" xfId="5">
      <alignment horizontal="center" vertical="center" wrapText="1"/>
    </xf>
    <xf numFmtId="0" fontId="29" fillId="16" borderId="48" applyAlignment="1" pivotButton="0" quotePrefix="0" xfId="5">
      <alignment horizontal="center" vertical="center"/>
    </xf>
    <xf numFmtId="0" fontId="30" fillId="0" borderId="21" applyAlignment="1" pivotButton="0" quotePrefix="0" xfId="5">
      <alignment horizontal="center" vertical="center"/>
    </xf>
    <xf numFmtId="0" fontId="30" fillId="0" borderId="28" applyAlignment="1" pivotButton="0" quotePrefix="0" xfId="5">
      <alignment horizontal="center" vertical="center"/>
    </xf>
    <xf numFmtId="0" fontId="30" fillId="0" borderId="46" applyAlignment="1" pivotButton="0" quotePrefix="0" xfId="5">
      <alignment horizontal="center" vertical="center"/>
    </xf>
    <xf numFmtId="0" fontId="25" fillId="11" borderId="7" applyAlignment="1" pivotButton="0" quotePrefix="0" xfId="5">
      <alignment horizontal="center" vertical="center"/>
    </xf>
    <xf numFmtId="0" fontId="25" fillId="11" borderId="4" applyAlignment="1" pivotButton="0" quotePrefix="0" xfId="5">
      <alignment horizontal="center" vertical="center"/>
    </xf>
    <xf numFmtId="0" fontId="25" fillId="11" borderId="60" applyAlignment="1" pivotButton="0" quotePrefix="0" xfId="5">
      <alignment horizontal="center" vertical="center"/>
    </xf>
    <xf numFmtId="0" fontId="29" fillId="12" borderId="47" applyAlignment="1" pivotButton="0" quotePrefix="0" xfId="5">
      <alignment horizontal="center" vertical="center" wrapText="1"/>
    </xf>
    <xf numFmtId="0" fontId="29" fillId="12" borderId="49" applyAlignment="1" pivotButton="0" quotePrefix="0" xfId="5">
      <alignment horizontal="center" vertical="center"/>
    </xf>
    <xf numFmtId="0" fontId="29" fillId="13" borderId="47" applyAlignment="1" pivotButton="0" quotePrefix="0" xfId="5">
      <alignment horizontal="center" vertical="center" wrapText="1"/>
    </xf>
    <xf numFmtId="0" fontId="29" fillId="13" borderId="49" applyAlignment="1" pivotButton="0" quotePrefix="0" xfId="5">
      <alignment horizontal="center" vertical="center"/>
    </xf>
    <xf numFmtId="0" fontId="29" fillId="14" borderId="22" applyAlignment="1" pivotButton="0" quotePrefix="0" xfId="5">
      <alignment horizontal="center" vertical="center" wrapText="1"/>
    </xf>
    <xf numFmtId="0" fontId="29" fillId="14" borderId="27" applyAlignment="1" pivotButton="0" quotePrefix="0" xfId="5">
      <alignment horizontal="center" vertical="center"/>
    </xf>
    <xf numFmtId="0" fontId="29" fillId="17" borderId="47" applyAlignment="1" pivotButton="0" quotePrefix="0" xfId="5">
      <alignment horizontal="center" vertical="center" wrapText="1"/>
    </xf>
    <xf numFmtId="0" fontId="29" fillId="17" borderId="49" applyAlignment="1" pivotButton="0" quotePrefix="0" xfId="5">
      <alignment horizontal="center" vertical="center"/>
    </xf>
    <xf numFmtId="0" fontId="29" fillId="18" borderId="22" applyAlignment="1" pivotButton="0" quotePrefix="0" xfId="5">
      <alignment horizontal="center" vertical="center" wrapText="1"/>
    </xf>
    <xf numFmtId="0" fontId="29" fillId="18" borderId="27" applyAlignment="1" pivotButton="0" quotePrefix="0" xfId="5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164" fontId="12" fillId="3" borderId="5" applyAlignment="1" pivotButton="0" quotePrefix="0" xfId="2">
      <alignment horizontal="center" vertical="center"/>
    </xf>
    <xf numFmtId="164" fontId="12" fillId="3" borderId="63" applyAlignment="1" pivotButton="0" quotePrefix="0" xfId="2">
      <alignment horizontal="center" vertical="center"/>
    </xf>
    <xf numFmtId="164" fontId="13" fillId="3" borderId="6" applyAlignment="1" pivotButton="0" quotePrefix="0" xfId="2">
      <alignment horizontal="center" vertical="center"/>
    </xf>
    <xf numFmtId="164" fontId="13" fillId="3" borderId="9" applyAlignment="1" pivotButton="0" quotePrefix="0" xfId="2">
      <alignment horizontal="center" vertical="center"/>
    </xf>
    <xf numFmtId="0" fontId="14" fillId="4" borderId="65" applyAlignment="1" pivotButton="0" quotePrefix="0" xfId="2">
      <alignment horizontal="center" vertical="center" readingOrder="1"/>
    </xf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0" fontId="0" fillId="0" borderId="14" pivotButton="0" quotePrefix="0" xfId="0"/>
    <xf numFmtId="0" fontId="14" fillId="6" borderId="24" applyAlignment="1" pivotButton="0" quotePrefix="0" xfId="4">
      <alignment horizontal="center" vertical="center" shrinkToFit="1"/>
    </xf>
    <xf numFmtId="0" fontId="14" fillId="7" borderId="16" applyAlignment="1" pivotButton="0" quotePrefix="0" xfId="2">
      <alignment horizontal="center" vertical="center" wrapText="1" readingOrder="1"/>
    </xf>
    <xf numFmtId="165" fontId="45" fillId="0" borderId="12" applyAlignment="1" pivotButton="0" quotePrefix="0" xfId="1">
      <alignment horizontal="center" vertical="center" wrapText="1" shrinkToFit="1"/>
    </xf>
    <xf numFmtId="165" fontId="14" fillId="6" borderId="12" applyAlignment="1" pivotButton="0" quotePrefix="0" xfId="1">
      <alignment horizontal="center" vertical="center" wrapText="1" shrinkToFit="1"/>
    </xf>
    <xf numFmtId="165" fontId="14" fillId="0" borderId="11" applyAlignment="1" pivotButton="0" quotePrefix="0" xfId="1">
      <alignment horizontal="center" vertical="center" wrapText="1" shrinkToFit="1"/>
    </xf>
    <xf numFmtId="165" fontId="14" fillId="6" borderId="11" applyAlignment="1" pivotButton="0" quotePrefix="0" xfId="1">
      <alignment horizontal="center" vertical="center" wrapText="1" shrinkToFit="1"/>
    </xf>
    <xf numFmtId="165" fontId="14" fillId="0" borderId="14" applyAlignment="1" pivotButton="0" quotePrefix="0" xfId="1">
      <alignment horizontal="center" vertical="center" wrapText="1" shrinkToFit="1"/>
    </xf>
    <xf numFmtId="165" fontId="14" fillId="6" borderId="14" applyAlignment="1" pivotButton="0" quotePrefix="0" xfId="1">
      <alignment vertical="center" wrapText="1" shrinkToFit="1"/>
    </xf>
    <xf numFmtId="165" fontId="14" fillId="6" borderId="14" applyAlignment="1" pivotButton="0" quotePrefix="0" xfId="1">
      <alignment horizontal="center" vertical="center" wrapText="1" shrinkToFit="1"/>
    </xf>
    <xf numFmtId="165" fontId="14" fillId="6" borderId="15" applyAlignment="1" pivotButton="0" quotePrefix="0" xfId="1">
      <alignment horizontal="center" vertical="center" wrapText="1" shrinkToFit="1"/>
    </xf>
    <xf numFmtId="0" fontId="14" fillId="8" borderId="16" applyAlignment="1" pivotButton="0" quotePrefix="0" xfId="2">
      <alignment horizontal="center" vertical="center" wrapText="1" readingOrder="1"/>
    </xf>
    <xf numFmtId="0" fontId="0" fillId="0" borderId="22" pivotButton="0" quotePrefix="0" xfId="0"/>
    <xf numFmtId="0" fontId="0" fillId="0" borderId="38" pivotButton="0" quotePrefix="0" xfId="0"/>
    <xf numFmtId="0" fontId="0" fillId="0" borderId="24" pivotButton="0" quotePrefix="0" xfId="0"/>
    <xf numFmtId="0" fontId="0" fillId="0" borderId="67" pivotButton="0" quotePrefix="0" xfId="0"/>
    <xf numFmtId="0" fontId="14" fillId="4" borderId="47" applyAlignment="1" pivotButton="0" quotePrefix="0" xfId="2">
      <alignment horizontal="center" vertical="center"/>
    </xf>
    <xf numFmtId="0" fontId="14" fillId="9" borderId="16" applyAlignment="1" pivotButton="0" quotePrefix="0" xfId="2">
      <alignment horizontal="center" vertical="center" wrapText="1" readingOrder="1"/>
    </xf>
    <xf numFmtId="0" fontId="14" fillId="6" borderId="11" applyAlignment="1" pivotButton="0" quotePrefix="0" xfId="4">
      <alignment horizontal="center" vertical="center" shrinkToFit="1"/>
    </xf>
    <xf numFmtId="0" fontId="14" fillId="6" borderId="11" applyAlignment="1" pivotButton="0" quotePrefix="0" xfId="0">
      <alignment horizontal="center" vertical="center" shrinkToFit="1"/>
    </xf>
    <xf numFmtId="0" fontId="16" fillId="6" borderId="11" applyAlignment="1" pivotButton="0" quotePrefix="0" xfId="0">
      <alignment horizontal="center" vertical="center" shrinkToFit="1"/>
    </xf>
    <xf numFmtId="0" fontId="14" fillId="10" borderId="16" applyAlignment="1" pivotButton="0" quotePrefix="0" xfId="2">
      <alignment horizontal="center" vertical="center" wrapText="1" readingOrder="1"/>
    </xf>
    <xf numFmtId="0" fontId="16" fillId="6" borderId="27" applyAlignment="1" pivotButton="0" quotePrefix="0" xfId="0">
      <alignment horizontal="center" vertical="center" shrinkToFit="1"/>
    </xf>
    <xf numFmtId="0" fontId="14" fillId="6" borderId="14" applyAlignment="1" pivotButton="0" quotePrefix="0" xfId="0">
      <alignment horizontal="center" vertical="center" shrinkToFit="1"/>
    </xf>
    <xf numFmtId="0" fontId="14" fillId="4" borderId="16" applyAlignment="1" pivotButton="0" quotePrefix="0" xfId="2">
      <alignment horizontal="center" vertical="center"/>
    </xf>
    <xf numFmtId="0" fontId="14" fillId="4" borderId="68" applyAlignment="1" pivotButton="0" quotePrefix="0" xfId="2">
      <alignment horizontal="center" vertical="center" readingOrder="1"/>
    </xf>
    <xf numFmtId="0" fontId="0" fillId="0" borderId="28" pivotButton="0" quotePrefix="0" xfId="0"/>
    <xf numFmtId="0" fontId="14" fillId="8" borderId="70" applyAlignment="1" pivotButton="0" quotePrefix="0" xfId="2">
      <alignment horizontal="center" vertical="center" wrapText="1" readingOrder="1"/>
    </xf>
    <xf numFmtId="0" fontId="0" fillId="0" borderId="69" pivotButton="0" quotePrefix="0" xfId="0"/>
    <xf numFmtId="0" fontId="0" fillId="0" borderId="33" pivotButton="0" quotePrefix="0" xfId="0"/>
    <xf numFmtId="0" fontId="0" fillId="0" borderId="71" pivotButton="0" quotePrefix="0" xfId="0"/>
    <xf numFmtId="0" fontId="0" fillId="0" borderId="35" pivotButton="0" quotePrefix="0" xfId="0"/>
    <xf numFmtId="0" fontId="25" fillId="11" borderId="78" applyAlignment="1" pivotButton="0" quotePrefix="0" xfId="5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0" fillId="7" borderId="74" applyAlignment="1" pivotButton="0" quotePrefix="0" xfId="5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0" fillId="7" borderId="73" applyAlignment="1" pivotButton="0" quotePrefix="0" xfId="5">
      <alignment horizontal="center" vertical="center"/>
    </xf>
    <xf numFmtId="0" fontId="0" fillId="0" borderId="46" pivotButton="0" quotePrefix="0" xfId="0"/>
    <xf numFmtId="0" fontId="30" fillId="7" borderId="17" applyAlignment="1" pivotButton="0" quotePrefix="0" xfId="5">
      <alignment horizontal="center" vertical="center"/>
    </xf>
    <xf numFmtId="0" fontId="0" fillId="0" borderId="39" pivotButton="0" quotePrefix="0" xfId="0"/>
    <xf numFmtId="0" fontId="0" fillId="0" borderId="48" pivotButton="0" quotePrefix="0" xfId="0"/>
    <xf numFmtId="0" fontId="0" fillId="0" borderId="49" pivotButton="0" quotePrefix="0" xfId="0"/>
    <xf numFmtId="0" fontId="30" fillId="0" borderId="74" applyAlignment="1" pivotButton="0" quotePrefix="0" xfId="5">
      <alignment horizontal="center" vertical="center"/>
    </xf>
    <xf numFmtId="0" fontId="0" fillId="0" borderId="52" pivotButton="0" quotePrefix="0" xfId="0"/>
    <xf numFmtId="0" fontId="33" fillId="6" borderId="74" applyAlignment="1" pivotButton="0" quotePrefix="0" xfId="5">
      <alignment horizontal="left" vertical="center" wrapText="1"/>
    </xf>
    <xf numFmtId="0" fontId="33" fillId="6" borderId="20" applyAlignment="1" pivotButton="0" quotePrefix="0" xfId="5">
      <alignment horizontal="left" vertical="center" wrapText="1"/>
    </xf>
    <xf numFmtId="166" fontId="30" fillId="0" borderId="18" applyAlignment="1" pivotButton="0" quotePrefix="0" xfId="5">
      <alignment horizontal="center" vertical="center"/>
    </xf>
    <xf numFmtId="0" fontId="30" fillId="0" borderId="72" applyAlignment="1" pivotButton="0" quotePrefix="0" xfId="5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30" fillId="0" borderId="76" applyAlignment="1" pivotButton="0" quotePrefix="0" xfId="5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30" fillId="0" borderId="73" applyAlignment="1" pivotButton="0" quotePrefix="0" xfId="5">
      <alignment horizontal="center" vertical="center"/>
    </xf>
    <xf numFmtId="0" fontId="25" fillId="11" borderId="77" applyAlignment="1" pivotButton="0" quotePrefix="0" xfId="5">
      <alignment horizontal="center" vertical="center"/>
    </xf>
    <xf numFmtId="0" fontId="0" fillId="0" borderId="60" pivotButton="0" quotePrefix="0" xfId="0"/>
  </cellXfs>
  <cellStyles count="6">
    <cellStyle name="표준" xfId="0" builtinId="0"/>
    <cellStyle name="쉼표 [0]" xfId="1" builtinId="6"/>
    <cellStyle name="표준 2 2" xfId="2"/>
    <cellStyle name="백분율 2" xfId="3"/>
    <cellStyle name="표준 2 3" xfId="4"/>
    <cellStyle name="표준 3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9"/>
  <sheetViews>
    <sheetView showGridLines="0" tabSelected="1" showRuler="0" zoomScale="40" zoomScaleNormal="40" zoomScaleSheetLayoutView="40" workbookViewId="0">
      <selection activeCell="H8" sqref="H8"/>
    </sheetView>
  </sheetViews>
  <sheetFormatPr baseColWidth="8" defaultColWidth="9" defaultRowHeight="33.75"/>
  <cols>
    <col width="5" customWidth="1" style="2" min="1" max="1"/>
    <col width="9" customWidth="1" style="2" min="2" max="3"/>
    <col width="32.75" customWidth="1" style="2" min="4" max="4"/>
    <col hidden="1" width="21.625" customWidth="1" style="2" min="5" max="5"/>
    <col width="69.125" customWidth="1" style="2" min="6" max="10"/>
    <col width="6.25" customWidth="1" style="2" min="11" max="11"/>
    <col width="9" customWidth="1" style="2" min="12" max="17"/>
    <col width="9" customWidth="1" style="52" min="18" max="19"/>
    <col width="9" customWidth="1" style="2" min="20" max="16384"/>
  </cols>
  <sheetData>
    <row r="1" ht="84.59999999999999" customHeight="1" s="225" thickBot="1">
      <c r="A1" s="1" t="n"/>
      <c r="B1" s="150" t="inlineStr">
        <is>
          <t>주간 메뉴표(06.29 ~ 07.03)</t>
        </is>
      </c>
      <c r="K1" s="1" t="n"/>
    </row>
    <row r="2" hidden="1" ht="1.9" customFormat="1" customHeight="1" s="5" thickBot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3" t="n"/>
      <c r="R2" s="52" t="n"/>
      <c r="S2" s="52" t="n"/>
    </row>
    <row r="3" hidden="1" ht="1.15" customFormat="1" customHeight="1" s="5" thickBot="1">
      <c r="A3" s="3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9" t="n"/>
      <c r="R3" s="52" t="n"/>
      <c r="S3" s="52" t="n"/>
    </row>
    <row r="4" ht="46.9" customHeight="1" s="225" thickBot="1">
      <c r="A4" s="1" t="n"/>
      <c r="B4" s="151" t="inlineStr">
        <is>
          <t>구분</t>
        </is>
      </c>
      <c r="C4" s="226" t="n"/>
      <c r="D4" s="227" t="n"/>
      <c r="E4" s="10" t="n"/>
      <c r="F4" s="228" t="n">
        <v>46202</v>
      </c>
      <c r="G4" s="229">
        <f>F4+1</f>
        <v/>
      </c>
      <c r="H4" s="230">
        <f>G4+1</f>
        <v/>
      </c>
      <c r="I4" s="230">
        <f>H4+1</f>
        <v/>
      </c>
      <c r="J4" s="231">
        <f>I4+1</f>
        <v/>
      </c>
      <c r="K4" s="9" t="n"/>
    </row>
    <row r="5" ht="37.9" customHeight="1" s="225">
      <c r="A5" s="1" t="n"/>
      <c r="B5" s="232" t="inlineStr">
        <is>
          <t>조식</t>
        </is>
      </c>
      <c r="C5" s="227" t="n"/>
      <c r="D5" s="159" t="inlineStr">
        <is>
          <t>코너2
(한식)</t>
        </is>
      </c>
      <c r="E5" s="13" t="inlineStr">
        <is>
          <t>메인</t>
        </is>
      </c>
      <c r="F5" s="27" t="inlineStr">
        <is>
          <t>소고기장조림</t>
        </is>
      </c>
      <c r="G5" s="16" t="inlineStr">
        <is>
          <t>임연수구이</t>
        </is>
      </c>
      <c r="H5" s="14" t="inlineStr">
        <is>
          <t>두부계란조림</t>
        </is>
      </c>
      <c r="I5" s="106" t="inlineStr">
        <is>
          <t>삼치양념구이</t>
        </is>
      </c>
      <c r="J5" s="106" t="inlineStr">
        <is>
          <t>훈제오리볶음</t>
        </is>
      </c>
      <c r="K5" s="9" t="n"/>
    </row>
    <row r="6" ht="37.9" customHeight="1" s="225">
      <c r="A6" s="1" t="n"/>
      <c r="B6" s="233" t="n"/>
      <c r="C6" s="234" t="n"/>
      <c r="D6" s="235" t="n"/>
      <c r="E6" s="22" t="inlineStr">
        <is>
          <t>사이드</t>
        </is>
      </c>
      <c r="F6" s="16" t="inlineStr">
        <is>
          <t>잡곡밥/숭늉</t>
        </is>
      </c>
      <c r="G6" s="16" t="inlineStr">
        <is>
          <t>잡곡밥/숭늉</t>
        </is>
      </c>
      <c r="H6" s="16" t="inlineStr">
        <is>
          <t>잡곡밥/숭늉</t>
        </is>
      </c>
      <c r="I6" s="16" t="inlineStr">
        <is>
          <t>잡곡밥/숭늉</t>
        </is>
      </c>
      <c r="J6" s="16" t="inlineStr">
        <is>
          <t>잡곡밥/숭늉</t>
        </is>
      </c>
      <c r="K6" s="9" t="n"/>
    </row>
    <row r="7" ht="37.9" customHeight="1" s="225">
      <c r="A7" s="1" t="n"/>
      <c r="B7" s="233" t="n"/>
      <c r="C7" s="234" t="n"/>
      <c r="D7" s="235" t="n"/>
      <c r="E7" s="235" t="n"/>
      <c r="F7" s="18" t="inlineStr">
        <is>
          <t>얼갈이된장국</t>
        </is>
      </c>
      <c r="G7" s="18" t="inlineStr">
        <is>
          <t>버섯맑은국</t>
        </is>
      </c>
      <c r="H7" s="18" t="inlineStr">
        <is>
          <t>시원한뭇국</t>
        </is>
      </c>
      <c r="I7" s="91" t="inlineStr">
        <is>
          <t>아욱국</t>
        </is>
      </c>
      <c r="J7" s="91" t="inlineStr">
        <is>
          <t>시래기해장국</t>
        </is>
      </c>
      <c r="K7" s="9" t="n"/>
    </row>
    <row r="8" ht="37.9" customHeight="1" s="225">
      <c r="A8" s="1" t="n"/>
      <c r="B8" s="233" t="n"/>
      <c r="C8" s="234" t="n"/>
      <c r="D8" s="235" t="n"/>
      <c r="E8" s="235" t="n"/>
      <c r="F8" s="18" t="inlineStr">
        <is>
          <t>도라지나물</t>
        </is>
      </c>
      <c r="G8" s="18" t="inlineStr">
        <is>
          <t>가지볶음</t>
        </is>
      </c>
      <c r="H8" s="18" t="inlineStr">
        <is>
          <t>브로콜리무침</t>
        </is>
      </c>
      <c r="I8" s="91" t="inlineStr">
        <is>
          <t>세발나물무침</t>
        </is>
      </c>
      <c r="J8" s="91" t="inlineStr">
        <is>
          <t>곤드레나물</t>
        </is>
      </c>
      <c r="K8" s="9" t="n"/>
    </row>
    <row r="9" ht="35.25" customHeight="1" s="225">
      <c r="A9" s="1" t="n"/>
      <c r="B9" s="233" t="n"/>
      <c r="C9" s="234" t="n"/>
      <c r="D9" s="235" t="n"/>
      <c r="E9" s="236" t="n"/>
      <c r="F9" s="19" t="inlineStr">
        <is>
          <t>총각김치</t>
        </is>
      </c>
      <c r="G9" s="19" t="inlineStr">
        <is>
          <t>열무김치</t>
        </is>
      </c>
      <c r="H9" s="19" t="inlineStr">
        <is>
          <t>나박김치</t>
        </is>
      </c>
      <c r="I9" s="107" t="inlineStr">
        <is>
          <t>오이소박이</t>
        </is>
      </c>
      <c r="J9" s="237" t="inlineStr">
        <is>
          <t>석박지</t>
        </is>
      </c>
      <c r="K9" s="9" t="n"/>
    </row>
    <row r="10" ht="36.6" customHeight="1" s="225">
      <c r="A10" s="1" t="n"/>
      <c r="B10" s="233" t="n"/>
      <c r="C10" s="234" t="n"/>
      <c r="D10" s="238" t="inlineStr">
        <is>
          <t>코너3
(스낵)</t>
        </is>
      </c>
      <c r="E10" s="22" t="inlineStr">
        <is>
          <t>메인</t>
        </is>
      </c>
      <c r="F10" s="239" t="inlineStr">
        <is>
          <t>유부초밥</t>
        </is>
      </c>
      <c r="G10" s="240" t="inlineStr">
        <is>
          <t>소고기김밥</t>
        </is>
      </c>
      <c r="H10" s="97" t="inlineStr">
        <is>
          <t>참치마요주먹밥</t>
        </is>
      </c>
      <c r="I10" s="240" t="inlineStr">
        <is>
          <t>멸치견과김밥</t>
        </is>
      </c>
      <c r="J10" s="240" t="inlineStr">
        <is>
          <t>매콤어묵김밥</t>
        </is>
      </c>
      <c r="K10" s="9" t="n"/>
    </row>
    <row r="11" ht="37.9" customHeight="1" s="225">
      <c r="A11" s="1" t="n"/>
      <c r="B11" s="233" t="n"/>
      <c r="C11" s="234" t="n"/>
      <c r="D11" s="235" t="n"/>
      <c r="E11" s="22" t="inlineStr">
        <is>
          <t>사이드</t>
        </is>
      </c>
      <c r="F11" s="97" t="inlineStr">
        <is>
          <t>바지락맑은장국</t>
        </is>
      </c>
      <c r="G11" s="97" t="inlineStr">
        <is>
          <t>김치장국</t>
        </is>
      </c>
      <c r="H11" s="97" t="inlineStr">
        <is>
          <t>가쓰오장국</t>
        </is>
      </c>
      <c r="I11" s="97" t="inlineStr">
        <is>
          <t>북어채장국</t>
        </is>
      </c>
      <c r="J11" s="97" t="inlineStr">
        <is>
          <t>매생이장국</t>
        </is>
      </c>
      <c r="K11" s="9" t="n"/>
    </row>
    <row r="12" ht="37.9" customHeight="1" s="225">
      <c r="A12" s="1" t="n"/>
      <c r="B12" s="233" t="n"/>
      <c r="C12" s="234" t="n"/>
      <c r="D12" s="235" t="n"/>
      <c r="E12" s="235" t="n"/>
      <c r="F12" s="241" t="inlineStr">
        <is>
          <t>쌈무</t>
        </is>
      </c>
      <c r="G12" s="242" t="inlineStr">
        <is>
          <t>우엉조림</t>
        </is>
      </c>
      <c r="H12" s="97" t="inlineStr">
        <is>
          <t>오이초무침</t>
        </is>
      </c>
      <c r="I12" s="242" t="inlineStr">
        <is>
          <t>연근조림</t>
        </is>
      </c>
      <c r="J12" s="242" t="inlineStr">
        <is>
          <t>무피클</t>
        </is>
      </c>
      <c r="K12" s="9" t="n"/>
      <c r="N12" s="101" t="inlineStr">
        <is>
          <t>차돌박이양배추메밀면</t>
        </is>
      </c>
    </row>
    <row r="13" ht="37.9" customHeight="1" s="225">
      <c r="A13" s="1" t="n"/>
      <c r="B13" s="233" t="n"/>
      <c r="C13" s="234" t="n"/>
      <c r="D13" s="235" t="n"/>
      <c r="E13" s="235" t="n"/>
      <c r="F13" s="241" t="inlineStr">
        <is>
          <t>딸기주스</t>
        </is>
      </c>
      <c r="G13" s="242" t="inlineStr">
        <is>
          <t>바나나우유</t>
        </is>
      </c>
      <c r="H13" s="97" t="inlineStr">
        <is>
          <t>토마토주스</t>
        </is>
      </c>
      <c r="I13" s="242" t="inlineStr">
        <is>
          <t>초코우유</t>
        </is>
      </c>
      <c r="J13" s="242" t="inlineStr">
        <is>
          <t>자몽주스</t>
        </is>
      </c>
      <c r="K13" s="9" t="n"/>
      <c r="N13" s="101" t="inlineStr">
        <is>
          <t>김치삼겹컵밥</t>
        </is>
      </c>
    </row>
    <row r="14" ht="6.6" customHeight="1" s="225">
      <c r="A14" s="1" t="n"/>
      <c r="B14" s="233" t="n"/>
      <c r="C14" s="234" t="n"/>
      <c r="D14" s="236" t="n"/>
      <c r="E14" s="236" t="n"/>
      <c r="F14" s="243" t="n"/>
      <c r="G14" s="244" t="n"/>
      <c r="H14" s="99" t="n"/>
      <c r="I14" s="245" t="n"/>
      <c r="J14" s="246" t="n"/>
      <c r="K14" s="9" t="n"/>
    </row>
    <row r="15" ht="37.9" customHeight="1" s="225">
      <c r="A15" s="1" t="n"/>
      <c r="B15" s="233" t="n"/>
      <c r="C15" s="234" t="n"/>
      <c r="D15" s="247" t="inlineStr">
        <is>
          <t>셀프라면 ZON
(Café)</t>
        </is>
      </c>
      <c r="E15" s="248" t="n"/>
      <c r="F15" s="25" t="inlineStr">
        <is>
          <t>셀프라면/쌀밥/배추김치</t>
        </is>
      </c>
      <c r="G15" s="25" t="inlineStr">
        <is>
          <t>셀프라면/토핑4종/배추김치</t>
        </is>
      </c>
      <c r="H15" s="25" t="inlineStr">
        <is>
          <t>셀프라면/토핑4종/배추김치</t>
        </is>
      </c>
      <c r="I15" s="25" t="inlineStr">
        <is>
          <t>셀프라면/토핑4종/배추김치</t>
        </is>
      </c>
      <c r="J15" s="26" t="inlineStr">
        <is>
          <t>셀프라면/쌀밥/배추김치</t>
        </is>
      </c>
      <c r="K15" s="9" t="n"/>
      <c r="N15" s="93" t="inlineStr">
        <is>
          <t>돼지국밥</t>
        </is>
      </c>
      <c r="S15" s="52" t="inlineStr">
        <is>
          <t>시금치알리오올리오</t>
        </is>
      </c>
    </row>
    <row r="16" ht="40.15" customHeight="1" s="225" thickBot="1">
      <c r="A16" s="1" t="n"/>
      <c r="B16" s="249" t="n"/>
      <c r="C16" s="250" t="n"/>
      <c r="D16" s="251" t="n"/>
      <c r="E16" s="250" t="n"/>
      <c r="F16" s="20" t="inlineStr">
        <is>
          <t>토핑4종(계란,파,치즈,콩나물)</t>
        </is>
      </c>
      <c r="G16" s="20" t="inlineStr">
        <is>
          <t>토핑4종(계란,파,치즈,비엔나)</t>
        </is>
      </c>
      <c r="H16" s="20" t="inlineStr">
        <is>
          <t>토핑4종(계란,파,치즈,청양고추)</t>
        </is>
      </c>
      <c r="I16" s="20" t="inlineStr">
        <is>
          <t>토핑4종(계란,파,치즈,떡국떡)</t>
        </is>
      </c>
      <c r="J16" s="21" t="inlineStr">
        <is>
          <t>토핑4종(계란,파,치즈,양파)</t>
        </is>
      </c>
      <c r="K16" s="9" t="n"/>
      <c r="S16" s="52" t="inlineStr">
        <is>
          <t>아보카도명란밥</t>
        </is>
      </c>
    </row>
    <row r="17" ht="65.45" customHeight="1" s="225">
      <c r="A17" s="1" t="n"/>
      <c r="B17" s="126" t="n"/>
      <c r="C17" s="127" t="n"/>
      <c r="D17" s="57" t="n"/>
      <c r="E17" s="165" t="n"/>
      <c r="F17" s="115" t="inlineStr">
        <is>
          <t>고객만족도조사</t>
        </is>
      </c>
      <c r="G17" s="116" t="inlineStr">
        <is>
          <t>애정메뉴 모음ZIP</t>
        </is>
      </c>
      <c r="H17" s="117" t="inlineStr">
        <is>
          <t>오늘은 뭘 먹지?</t>
        </is>
      </c>
      <c r="I17" s="118" t="inlineStr">
        <is>
          <t>맛ZIP탐방</t>
        </is>
      </c>
      <c r="J17" s="92" t="inlineStr">
        <is>
          <t>금요 행복밥상</t>
        </is>
      </c>
      <c r="K17" s="9" t="n"/>
      <c r="S17" s="52" t="inlineStr">
        <is>
          <t>명란오일파스타</t>
        </is>
      </c>
    </row>
    <row r="18" ht="43.15" customHeight="1" s="225">
      <c r="A18" s="1" t="n"/>
      <c r="B18" s="252" t="inlineStr">
        <is>
          <t>중식</t>
        </is>
      </c>
      <c r="C18" s="248" t="n"/>
      <c r="D18" s="253" t="inlineStr">
        <is>
          <t>코너1
(일품)</t>
        </is>
      </c>
      <c r="E18" s="135" t="inlineStr">
        <is>
          <t>메인</t>
        </is>
      </c>
      <c r="F18" s="16" t="inlineStr">
        <is>
          <t>사골소고기국수</t>
        </is>
      </c>
      <c r="G18" s="18" t="inlineStr">
        <is>
          <t>바지락칼국수</t>
        </is>
      </c>
      <c r="H18" s="18" t="inlineStr">
        <is>
          <t>새우로제파스타</t>
        </is>
      </c>
      <c r="I18" s="18" t="inlineStr">
        <is>
          <t>열무비빔국수</t>
        </is>
      </c>
      <c r="J18" s="18" t="inlineStr">
        <is>
          <t>삼선짬뽕</t>
        </is>
      </c>
      <c r="K18" s="28" t="n"/>
      <c r="N18" s="52" t="inlineStr">
        <is>
          <t>차돌된장크림파스타</t>
        </is>
      </c>
      <c r="S18" s="52" t="inlineStr">
        <is>
          <t>명란크림우동</t>
        </is>
      </c>
    </row>
    <row r="19" ht="43.9" customHeight="1" s="225">
      <c r="A19" s="1" t="n"/>
      <c r="B19" s="233" t="n"/>
      <c r="C19" s="234" t="n"/>
      <c r="D19" s="235" t="n"/>
      <c r="E19" s="22" t="inlineStr">
        <is>
          <t>사이드</t>
        </is>
      </c>
      <c r="F19" s="16" t="inlineStr">
        <is>
          <t>꼬마주먹밥</t>
        </is>
      </c>
      <c r="G19" s="18" t="inlineStr">
        <is>
          <t>단호박죽</t>
        </is>
      </c>
      <c r="H19" s="18" t="inlineStr">
        <is>
          <t>마늘바게트</t>
        </is>
      </c>
      <c r="I19" s="16" t="inlineStr">
        <is>
          <t>미니유부초밥</t>
        </is>
      </c>
      <c r="J19" s="254" t="inlineStr">
        <is>
          <t>꽃빵</t>
        </is>
      </c>
      <c r="K19" s="29" t="n"/>
      <c r="N19" s="52" t="inlineStr">
        <is>
          <t>고구마무스타코야끼</t>
        </is>
      </c>
      <c r="S19" s="52" t="inlineStr">
        <is>
          <t>짚신돼지갈비찜</t>
        </is>
      </c>
    </row>
    <row r="20" ht="35.45" customHeight="1" s="225">
      <c r="A20" s="1" t="n"/>
      <c r="B20" s="233" t="n"/>
      <c r="C20" s="234" t="n"/>
      <c r="D20" s="235" t="n"/>
      <c r="E20" s="235" t="n"/>
      <c r="F20" s="18" t="inlineStr">
        <is>
          <t>야채튀김</t>
        </is>
      </c>
      <c r="G20" s="18" t="inlineStr">
        <is>
          <t>고구마튀김</t>
        </is>
      </c>
      <c r="H20" s="16" t="inlineStr">
        <is>
          <t>크래미튀김</t>
        </is>
      </c>
      <c r="I20" s="16" t="inlineStr">
        <is>
          <t>오징어링튀김</t>
        </is>
      </c>
      <c r="J20" s="255" t="inlineStr">
        <is>
          <t>김말이튀김</t>
        </is>
      </c>
      <c r="K20" s="29" t="n"/>
      <c r="N20" s="5" t="inlineStr">
        <is>
          <t>도토리묵사발</t>
        </is>
      </c>
      <c r="S20" s="52" t="inlineStr">
        <is>
          <t>남산돈까스</t>
        </is>
      </c>
    </row>
    <row r="21" ht="37.9" customHeight="1" s="225">
      <c r="A21" s="1" t="n"/>
      <c r="B21" s="233" t="n"/>
      <c r="C21" s="234" t="n"/>
      <c r="D21" s="235" t="n"/>
      <c r="E21" s="235" t="n"/>
      <c r="F21" s="18" t="inlineStr">
        <is>
          <t>코울슬로</t>
        </is>
      </c>
      <c r="G21" s="18" t="inlineStr">
        <is>
          <t>방울토마토</t>
        </is>
      </c>
      <c r="H21" s="18" t="inlineStr">
        <is>
          <t>감자샐러드</t>
        </is>
      </c>
      <c r="I21" s="18" t="inlineStr">
        <is>
          <t>톳두부무침</t>
        </is>
      </c>
      <c r="J21" s="18" t="inlineStr">
        <is>
          <t>리코타샐러드</t>
        </is>
      </c>
      <c r="K21" s="30" t="n"/>
      <c r="N21" s="5" t="inlineStr">
        <is>
          <t>목살스테이크</t>
        </is>
      </c>
      <c r="S21" s="52" t="inlineStr">
        <is>
          <t>차돌애호박파스타</t>
        </is>
      </c>
    </row>
    <row r="22" ht="37.9" customHeight="1" s="225">
      <c r="A22" s="1" t="n"/>
      <c r="B22" s="233" t="n"/>
      <c r="C22" s="234" t="n"/>
      <c r="D22" s="236" t="n"/>
      <c r="E22" s="236" t="n"/>
      <c r="F22" s="19" t="inlineStr">
        <is>
          <t>고들빼기김치</t>
        </is>
      </c>
      <c r="G22" s="19" t="inlineStr">
        <is>
          <t>부추김치</t>
        </is>
      </c>
      <c r="H22" s="19" t="inlineStr">
        <is>
          <t>깻잎김치</t>
        </is>
      </c>
      <c r="I22" s="18" t="inlineStr">
        <is>
          <t>동치미</t>
        </is>
      </c>
      <c r="J22" s="256" t="inlineStr">
        <is>
          <t>얼갈이김치</t>
        </is>
      </c>
      <c r="K22" s="29" t="n"/>
      <c r="N22" s="52" t="inlineStr">
        <is>
          <t>나가사끼짬뽕</t>
        </is>
      </c>
      <c r="S22" s="52" t="inlineStr">
        <is>
          <t>분짜</t>
        </is>
      </c>
    </row>
    <row r="23" ht="37.9" customHeight="1" s="225">
      <c r="A23" s="1" t="n"/>
      <c r="B23" s="233" t="n"/>
      <c r="C23" s="234" t="n"/>
      <c r="D23" s="257" t="inlineStr">
        <is>
          <t>코너2
(한식)</t>
        </is>
      </c>
      <c r="E23" s="22" t="inlineStr">
        <is>
          <t>메인</t>
        </is>
      </c>
      <c r="F23" s="16" t="inlineStr">
        <is>
          <t>돼지고기김치찜</t>
        </is>
      </c>
      <c r="G23" s="90" t="inlineStr">
        <is>
          <t>갈치조림</t>
        </is>
      </c>
      <c r="H23" s="90" t="inlineStr">
        <is>
          <t>낙지볶음</t>
        </is>
      </c>
      <c r="I23" s="90" t="inlineStr">
        <is>
          <t>닭볶음탕</t>
        </is>
      </c>
      <c r="J23" s="90" t="inlineStr">
        <is>
          <t>동태매운탕</t>
        </is>
      </c>
      <c r="K23" s="28" t="n"/>
      <c r="N23" s="52" t="inlineStr">
        <is>
          <t>봄동비빔국수</t>
        </is>
      </c>
      <c r="S23" s="52" t="inlineStr">
        <is>
          <t>바람의핫도그</t>
        </is>
      </c>
    </row>
    <row r="24" ht="43.9" customHeight="1" s="225">
      <c r="A24" s="1" t="n"/>
      <c r="B24" s="233" t="n"/>
      <c r="C24" s="234" t="n"/>
      <c r="D24" s="235" t="n"/>
      <c r="E24" s="22" t="inlineStr">
        <is>
          <t>사이드</t>
        </is>
      </c>
      <c r="F24" s="91" t="inlineStr">
        <is>
          <t>잡곡밥</t>
        </is>
      </c>
      <c r="G24" s="91" t="inlineStr">
        <is>
          <t>수수밥</t>
        </is>
      </c>
      <c r="H24" s="91" t="inlineStr">
        <is>
          <t>잡곡밥</t>
        </is>
      </c>
      <c r="I24" s="91" t="inlineStr">
        <is>
          <t>흑미밥</t>
        </is>
      </c>
      <c r="J24" s="258" t="inlineStr">
        <is>
          <t>잡곡밥</t>
        </is>
      </c>
      <c r="K24" s="29" t="n"/>
      <c r="N24" s="52" t="inlineStr">
        <is>
          <t>태국식제육볶음</t>
        </is>
      </c>
      <c r="S24" s="52" t="inlineStr">
        <is>
          <t>삼겹살김치덮밥</t>
        </is>
      </c>
    </row>
    <row r="25" ht="35.45" customHeight="1" s="225">
      <c r="A25" s="1" t="n"/>
      <c r="B25" s="233" t="n"/>
      <c r="C25" s="234" t="n"/>
      <c r="D25" s="235" t="n"/>
      <c r="E25" s="235" t="n"/>
      <c r="F25" s="91" t="inlineStr">
        <is>
          <t>시금치된장국</t>
        </is>
      </c>
      <c r="G25" s="91" t="inlineStr">
        <is>
          <t>두부새우젓국</t>
        </is>
      </c>
      <c r="H25" s="91" t="inlineStr">
        <is>
          <t>아욱국</t>
        </is>
      </c>
      <c r="I25" s="16" t="inlineStr">
        <is>
          <t>달래된장국</t>
        </is>
      </c>
      <c r="J25" s="254" t="inlineStr">
        <is>
          <t>배추된장국</t>
        </is>
      </c>
      <c r="K25" s="29" t="n"/>
      <c r="N25" s="52" t="inlineStr">
        <is>
          <t>전복내장솥밥</t>
        </is>
      </c>
      <c r="S25" s="52" t="inlineStr">
        <is>
          <t>갓돈김치찌개</t>
        </is>
      </c>
    </row>
    <row r="26" ht="37.9" customHeight="1" s="225">
      <c r="A26" s="1" t="n"/>
      <c r="B26" s="233" t="n"/>
      <c r="C26" s="234" t="n"/>
      <c r="D26" s="235" t="n"/>
      <c r="E26" s="235" t="n"/>
      <c r="F26" s="18" t="inlineStr">
        <is>
          <t>느타리버섯전</t>
        </is>
      </c>
      <c r="G26" s="91" t="inlineStr">
        <is>
          <t>뿌리채소조림</t>
        </is>
      </c>
      <c r="H26" s="18" t="inlineStr">
        <is>
          <t>콘치즈</t>
        </is>
      </c>
      <c r="I26" s="16" t="inlineStr">
        <is>
          <t>감자채볶음</t>
        </is>
      </c>
      <c r="J26" s="255" t="inlineStr">
        <is>
          <t>애호박전</t>
        </is>
      </c>
      <c r="K26" s="30" t="n"/>
      <c r="N26" s="52" t="inlineStr">
        <is>
          <t>쭈꾸미볶음</t>
        </is>
      </c>
      <c r="S26" s="52" t="inlineStr">
        <is>
          <t>후추볶음밥(페퍼런치)</t>
        </is>
      </c>
    </row>
    <row r="27" ht="37.9" customHeight="1" s="225">
      <c r="A27" s="1" t="n"/>
      <c r="B27" s="233" t="n"/>
      <c r="C27" s="234" t="n"/>
      <c r="D27" s="235" t="n"/>
      <c r="E27" s="235" t="n"/>
      <c r="F27" s="18" t="inlineStr">
        <is>
          <t>무나물</t>
        </is>
      </c>
      <c r="G27" s="91" t="inlineStr">
        <is>
          <t>미역줄기볶음</t>
        </is>
      </c>
      <c r="H27" s="18" t="inlineStr">
        <is>
          <t>참나물무침</t>
        </is>
      </c>
      <c r="I27" s="16" t="inlineStr">
        <is>
          <t>얼갈이나물</t>
        </is>
      </c>
      <c r="J27" s="254" t="inlineStr">
        <is>
          <t>도라지생채</t>
        </is>
      </c>
      <c r="K27" s="30" t="n"/>
      <c r="N27" s="52" t="inlineStr">
        <is>
          <t>왕새우또띠아</t>
        </is>
      </c>
      <c r="S27" s="53" t="inlineStr">
        <is>
          <t>마라마파두부</t>
        </is>
      </c>
    </row>
    <row r="28" ht="37.9" customHeight="1" s="225">
      <c r="A28" s="1" t="n"/>
      <c r="B28" s="233" t="n"/>
      <c r="C28" s="234" t="n"/>
      <c r="D28" s="236" t="n"/>
      <c r="E28" s="236" t="n"/>
      <c r="F28" s="20" t="inlineStr">
        <is>
          <t>총각김치</t>
        </is>
      </c>
      <c r="G28" s="94" t="inlineStr">
        <is>
          <t>오이소박이</t>
        </is>
      </c>
      <c r="H28" s="20" t="inlineStr">
        <is>
          <t>나박김치</t>
        </is>
      </c>
      <c r="I28" s="20" t="inlineStr">
        <is>
          <t>석박지</t>
        </is>
      </c>
      <c r="J28" s="259" t="inlineStr">
        <is>
          <t>열무김치</t>
        </is>
      </c>
      <c r="K28" s="29" t="n"/>
      <c r="N28" s="52" t="inlineStr">
        <is>
          <t>새우튀김카레우동</t>
        </is>
      </c>
      <c r="S28" s="53" t="inlineStr">
        <is>
          <t>참깨수제비</t>
        </is>
      </c>
    </row>
    <row r="29" ht="37.9" customHeight="1" s="225">
      <c r="A29" s="1" t="n"/>
      <c r="B29" s="233" t="n"/>
      <c r="C29" s="234" t="n"/>
      <c r="D29" s="146" t="inlineStr">
        <is>
          <t>코너3
(별식)</t>
        </is>
      </c>
      <c r="E29" s="22" t="inlineStr">
        <is>
          <t>SET구성</t>
        </is>
      </c>
      <c r="F29" s="16" t="inlineStr">
        <is>
          <t>곤드레밥&amp;강된장</t>
        </is>
      </c>
      <c r="G29" s="95" t="inlineStr">
        <is>
          <t>낙지비빔밥</t>
        </is>
      </c>
      <c r="H29" s="16" t="inlineStr">
        <is>
          <t>불고기덮밥</t>
        </is>
      </c>
      <c r="I29" s="16" t="inlineStr">
        <is>
          <t>오므라이스</t>
        </is>
      </c>
      <c r="J29" s="254" t="inlineStr">
        <is>
          <t>치킨마요덮밥</t>
        </is>
      </c>
      <c r="K29" s="28" t="n"/>
      <c r="N29" s="52" t="inlineStr">
        <is>
          <t>어향가지덮밥</t>
        </is>
      </c>
    </row>
    <row r="30" ht="43.9" customHeight="1" s="225">
      <c r="A30" s="1" t="n"/>
      <c r="B30" s="233" t="n"/>
      <c r="C30" s="234" t="n"/>
      <c r="D30" s="234" t="n"/>
      <c r="E30" s="235" t="n"/>
      <c r="F30" s="16" t="inlineStr">
        <is>
          <t>유부어묵국</t>
        </is>
      </c>
      <c r="G30" s="95" t="inlineStr">
        <is>
          <t>콩나물황태국</t>
        </is>
      </c>
      <c r="H30" s="16" t="inlineStr">
        <is>
          <t>시원한버섯국</t>
        </is>
      </c>
      <c r="I30" s="16" t="inlineStr">
        <is>
          <t>옥수수크림스프</t>
        </is>
      </c>
      <c r="J30" s="255" t="inlineStr">
        <is>
          <t>계란파국</t>
        </is>
      </c>
      <c r="K30" s="29" t="n"/>
      <c r="N30" s="52" t="inlineStr">
        <is>
          <t>비벼먹는된장찌개</t>
        </is>
      </c>
      <c r="S30" s="52" t="inlineStr">
        <is>
          <t>제주음식탐방</t>
        </is>
      </c>
    </row>
    <row r="31" ht="35.45" customHeight="1" s="225">
      <c r="A31" s="1" t="n"/>
      <c r="B31" s="233" t="n"/>
      <c r="C31" s="234" t="n"/>
      <c r="D31" s="234" t="n"/>
      <c r="E31" s="235" t="n"/>
      <c r="F31" s="18" t="inlineStr">
        <is>
          <t>김말이강정</t>
        </is>
      </c>
      <c r="G31" s="18" t="inlineStr">
        <is>
          <t>치즈스틱</t>
        </is>
      </c>
      <c r="H31" s="18" t="inlineStr">
        <is>
          <t>고구마맛탕</t>
        </is>
      </c>
      <c r="I31" s="18" t="inlineStr">
        <is>
          <t>새우까스</t>
        </is>
      </c>
      <c r="J31" s="18" t="inlineStr">
        <is>
          <t>감자크로켓</t>
        </is>
      </c>
      <c r="K31" s="29" t="n"/>
      <c r="N31" s="52" t="inlineStr">
        <is>
          <t>흑임자제육비빔밥</t>
        </is>
      </c>
      <c r="S31" s="52" t="inlineStr">
        <is>
          <t>고기국수/고사리육개장/</t>
        </is>
      </c>
    </row>
    <row r="32" ht="37.9" customHeight="1" s="225">
      <c r="A32" s="1" t="n"/>
      <c r="B32" s="233" t="n"/>
      <c r="C32" s="234" t="n"/>
      <c r="D32" s="234" t="n"/>
      <c r="E32" s="235" t="n"/>
      <c r="F32" s="18" t="inlineStr">
        <is>
          <t>들깨코울슬로</t>
        </is>
      </c>
      <c r="G32" s="96" t="inlineStr">
        <is>
          <t>야채스틱&amp;소스</t>
        </is>
      </c>
      <c r="H32" s="18" t="inlineStr">
        <is>
          <t>방울토마토</t>
        </is>
      </c>
      <c r="I32" s="18" t="inlineStr">
        <is>
          <t>포테이토샐러드</t>
        </is>
      </c>
      <c r="J32" s="256" t="inlineStr">
        <is>
          <t>브로콜리무침</t>
        </is>
      </c>
      <c r="K32" s="30" t="n"/>
      <c r="N32" s="52" t="inlineStr">
        <is>
          <t>규동</t>
        </is>
      </c>
      <c r="T32" s="48" t="n"/>
    </row>
    <row r="33" ht="37.9" customHeight="1" s="225">
      <c r="A33" s="1" t="n"/>
      <c r="B33" s="233" t="n"/>
      <c r="C33" s="234" t="n"/>
      <c r="D33" s="234" t="n"/>
      <c r="E33" s="236" t="n"/>
      <c r="F33" s="19" t="inlineStr">
        <is>
          <t>열무김치</t>
        </is>
      </c>
      <c r="G33" s="19" t="inlineStr">
        <is>
          <t>석박지</t>
        </is>
      </c>
      <c r="H33" s="19" t="inlineStr">
        <is>
          <t>총각김치</t>
        </is>
      </c>
      <c r="I33" s="19" t="inlineStr">
        <is>
          <t>부추김치</t>
        </is>
      </c>
      <c r="J33" s="19" t="inlineStr">
        <is>
          <t>오이소박이</t>
        </is>
      </c>
      <c r="K33" s="29" t="n"/>
      <c r="S33" s="52" t="inlineStr">
        <is>
          <t>레몬크림탕수육</t>
        </is>
      </c>
      <c r="T33" s="48" t="n"/>
    </row>
    <row r="34" ht="37.9" customHeight="1" s="225">
      <c r="A34" s="1" t="n"/>
      <c r="B34" s="233" t="n"/>
      <c r="C34" s="234" t="n"/>
      <c r="D34" s="260" t="inlineStr">
        <is>
          <t>플러스바</t>
        </is>
      </c>
      <c r="E34" s="248" t="n"/>
      <c r="F34" s="31" t="inlineStr">
        <is>
          <t>그린샐러드/드레싱2종</t>
        </is>
      </c>
      <c r="G34" s="31" t="inlineStr">
        <is>
          <t>그린샐러드/드레싱2종</t>
        </is>
      </c>
      <c r="H34" s="31" t="inlineStr">
        <is>
          <t>그린샐러드/드레싱2종</t>
        </is>
      </c>
      <c r="I34" s="31" t="inlineStr">
        <is>
          <t>그린샐러드/드레싱2종</t>
        </is>
      </c>
      <c r="J34" s="32" t="inlineStr">
        <is>
          <t>그린샐러드/드레싱2종</t>
        </is>
      </c>
      <c r="K34" s="28" t="n"/>
      <c r="S34" s="52" t="inlineStr">
        <is>
          <t>마제소바</t>
        </is>
      </c>
      <c r="T34" s="48" t="n"/>
    </row>
    <row r="35" ht="37.9" customHeight="1" s="225">
      <c r="A35" s="1" t="n"/>
      <c r="B35" s="233" t="n"/>
      <c r="C35" s="234" t="n"/>
      <c r="D35" s="251" t="n"/>
      <c r="E35" s="250" t="n"/>
      <c r="F35" s="19" t="inlineStr">
        <is>
          <t>현미밥/청포도에이드</t>
        </is>
      </c>
      <c r="G35" s="19" t="inlineStr">
        <is>
          <t>현미밥/수정과</t>
        </is>
      </c>
      <c r="H35" s="19" t="inlineStr">
        <is>
          <t>현미밥/옥수수차</t>
        </is>
      </c>
      <c r="I35" s="19" t="inlineStr">
        <is>
          <t>현미밥/오미자차</t>
        </is>
      </c>
      <c r="J35" s="24" t="inlineStr">
        <is>
          <t>현미밥/식혜</t>
        </is>
      </c>
      <c r="K35" s="28" t="n"/>
      <c r="N35" s="101" t="inlineStr">
        <is>
          <t>파김치참치비빔밥</t>
        </is>
      </c>
    </row>
    <row r="36" ht="58.15" customHeight="1" s="225">
      <c r="A36" s="1" t="n"/>
      <c r="B36" s="141" t="n"/>
      <c r="C36" s="33" t="n"/>
      <c r="D36" s="58" t="inlineStr">
        <is>
          <t>테이크아웃
(Café)</t>
        </is>
      </c>
      <c r="E36" s="34" t="inlineStr">
        <is>
          <t>메인</t>
        </is>
      </c>
      <c r="F36" s="35" t="inlineStr">
        <is>
          <t>로스트치킨샐러드</t>
        </is>
      </c>
      <c r="G36" s="35" t="inlineStr">
        <is>
          <t>리코타치즈샐러드</t>
        </is>
      </c>
      <c r="H36" s="35" t="inlineStr">
        <is>
          <t>멕시칸비프샐러드</t>
        </is>
      </c>
      <c r="I36" s="100" t="inlineStr">
        <is>
          <t>통새우시저샐러드</t>
        </is>
      </c>
      <c r="J36" s="100" t="inlineStr">
        <is>
          <t>발사믹훈제오리샐러드</t>
        </is>
      </c>
      <c r="K36" s="28" t="n"/>
    </row>
    <row r="37" ht="37.9" customHeight="1" s="225">
      <c r="A37" s="1" t="n"/>
      <c r="B37" s="261" t="inlineStr">
        <is>
          <t>석식</t>
        </is>
      </c>
      <c r="C37" s="262" t="n"/>
      <c r="D37" s="257" t="inlineStr">
        <is>
          <t>코너2
(한식&amp;일품)</t>
        </is>
      </c>
      <c r="E37" s="22" t="inlineStr">
        <is>
          <t>메인</t>
        </is>
      </c>
      <c r="F37" s="109" t="inlineStr">
        <is>
          <t>LA갈비구이</t>
        </is>
      </c>
      <c r="G37" s="36" t="inlineStr">
        <is>
          <t>해물뚝배기</t>
        </is>
      </c>
      <c r="H37" s="98" t="inlineStr">
        <is>
          <t>마파두부덮밥</t>
        </is>
      </c>
      <c r="I37" s="102" t="inlineStr">
        <is>
          <t>코다리강정</t>
        </is>
      </c>
      <c r="J37" s="102" t="inlineStr">
        <is>
          <t>뼈없는감자탕</t>
        </is>
      </c>
      <c r="K37" s="9" t="n"/>
      <c r="N37" s="48" t="n"/>
    </row>
    <row r="38" ht="37.9" customHeight="1" s="225">
      <c r="A38" s="1" t="n"/>
      <c r="B38" s="233" t="n"/>
      <c r="D38" s="235" t="n"/>
      <c r="E38" s="22" t="inlineStr">
        <is>
          <t>사이드</t>
        </is>
      </c>
      <c r="F38" s="110" t="inlineStr">
        <is>
          <t>잡곡밥</t>
        </is>
      </c>
      <c r="G38" s="38" t="inlineStr">
        <is>
          <t>잡곡밥</t>
        </is>
      </c>
      <c r="H38" s="97" t="inlineStr">
        <is>
          <t>미니잔치국수</t>
        </is>
      </c>
      <c r="I38" s="38" t="inlineStr">
        <is>
          <t>흑미밥</t>
        </is>
      </c>
      <c r="J38" s="38" t="inlineStr">
        <is>
          <t>잡곡밥</t>
        </is>
      </c>
      <c r="K38" s="9" t="n"/>
      <c r="N38" s="48" t="n"/>
      <c r="O38" s="48" t="n"/>
    </row>
    <row r="39" ht="37.9" customHeight="1" s="225">
      <c r="A39" s="1" t="n"/>
      <c r="B39" s="233" t="n"/>
      <c r="D39" s="235" t="n"/>
      <c r="E39" s="235" t="n"/>
      <c r="F39" s="110" t="inlineStr">
        <is>
          <t>시래기국</t>
        </is>
      </c>
      <c r="G39" s="38" t="inlineStr">
        <is>
          <t>달걀파국</t>
        </is>
      </c>
      <c r="H39" s="97" t="inlineStr">
        <is>
          <t>가쓰오맑은국</t>
        </is>
      </c>
      <c r="I39" s="38" t="inlineStr">
        <is>
          <t>청국장찌개</t>
        </is>
      </c>
      <c r="J39" s="38" t="inlineStr">
        <is>
          <t>얼큰콩나물국</t>
        </is>
      </c>
      <c r="K39" s="9" t="n"/>
      <c r="N39" s="48" t="n"/>
      <c r="O39" s="48" t="n"/>
    </row>
    <row r="40" ht="37.9" customHeight="1" s="225">
      <c r="A40" s="1" t="n"/>
      <c r="B40" s="233" t="n"/>
      <c r="D40" s="235" t="n"/>
      <c r="E40" s="235" t="n"/>
      <c r="F40" s="16" t="inlineStr">
        <is>
          <t>버섯잡채</t>
        </is>
      </c>
      <c r="G40" s="40" t="inlineStr">
        <is>
          <t>새우완자전</t>
        </is>
      </c>
      <c r="H40" s="97" t="inlineStr">
        <is>
          <t>야채춘권튀김</t>
        </is>
      </c>
      <c r="I40" s="103" t="inlineStr">
        <is>
          <t>단호박맛탕</t>
        </is>
      </c>
      <c r="J40" s="103" t="inlineStr">
        <is>
          <t>부추전</t>
        </is>
      </c>
      <c r="K40" s="9" t="n"/>
      <c r="M40" s="48" t="n"/>
      <c r="O40" s="48" t="n"/>
    </row>
    <row r="41" ht="37.9" customHeight="1" s="225">
      <c r="A41" s="1" t="n"/>
      <c r="B41" s="233" t="n"/>
      <c r="D41" s="235" t="n"/>
      <c r="E41" s="235" t="n"/>
      <c r="F41" s="16" t="inlineStr">
        <is>
          <t>가지나물</t>
        </is>
      </c>
      <c r="G41" s="40" t="inlineStr">
        <is>
          <t>우엉조림</t>
        </is>
      </c>
      <c r="H41" s="97" t="inlineStr">
        <is>
          <t>무생채</t>
        </is>
      </c>
      <c r="I41" s="103" t="inlineStr">
        <is>
          <t>참나물겉절이</t>
        </is>
      </c>
      <c r="J41" s="103" t="inlineStr">
        <is>
          <t>시금치나물</t>
        </is>
      </c>
      <c r="K41" s="9" t="n"/>
      <c r="M41" s="48" t="n"/>
    </row>
    <row r="42" ht="37.9" customHeight="1" s="225">
      <c r="A42" s="1" t="n"/>
      <c r="B42" s="233" t="n"/>
      <c r="D42" s="236" t="n"/>
      <c r="E42" s="236" t="n"/>
      <c r="F42" s="111" t="inlineStr">
        <is>
          <t>나박김치</t>
        </is>
      </c>
      <c r="G42" s="41" t="inlineStr">
        <is>
          <t>오이소박이</t>
        </is>
      </c>
      <c r="H42" s="99" t="inlineStr">
        <is>
          <t>석박지</t>
        </is>
      </c>
      <c r="I42" s="104" t="inlineStr">
        <is>
          <t>고들빼기김치</t>
        </is>
      </c>
      <c r="J42" s="104" t="inlineStr">
        <is>
          <t>총각김치</t>
        </is>
      </c>
      <c r="K42" s="9" t="n"/>
      <c r="M42" s="48" t="n"/>
    </row>
    <row r="43" ht="37.9" customHeight="1" s="225">
      <c r="A43" s="1" t="n"/>
      <c r="B43" s="233" t="n"/>
      <c r="D43" s="263" t="inlineStr">
        <is>
          <t>셀프라면 ZON
(Café)</t>
        </is>
      </c>
      <c r="E43" s="248" t="n"/>
      <c r="F43" s="25" t="inlineStr">
        <is>
          <t>셀프라면/쌀밥/배추김치</t>
        </is>
      </c>
      <c r="G43" s="25" t="inlineStr">
        <is>
          <t>셀프라면/토핑4종/배추김치</t>
        </is>
      </c>
      <c r="H43" s="25" t="inlineStr">
        <is>
          <t>셀프라면/토핑4종/배추김치</t>
        </is>
      </c>
      <c r="I43" s="25" t="inlineStr">
        <is>
          <t>셀프라면/토핑4종/배추김치</t>
        </is>
      </c>
      <c r="J43" s="26" t="inlineStr">
        <is>
          <t>셀프라면/토핑4종/배추김치</t>
        </is>
      </c>
      <c r="K43" s="9" t="n"/>
    </row>
    <row r="44" ht="37.9" customHeight="1" s="225" thickBot="1">
      <c r="A44" s="1" t="n"/>
      <c r="B44" s="264" t="n"/>
      <c r="C44" s="265" t="n"/>
      <c r="D44" s="266" t="n"/>
      <c r="E44" s="267" t="n"/>
      <c r="F44" s="43" t="inlineStr">
        <is>
          <t>토핑4종(계란,파,치즈,콩나물)</t>
        </is>
      </c>
      <c r="G44" s="43" t="inlineStr">
        <is>
          <t>토핑4종(계란,파,치즈,비엔나)</t>
        </is>
      </c>
      <c r="H44" s="43" t="inlineStr">
        <is>
          <t>토핑4종(계란,파,치즈,청양고추)</t>
        </is>
      </c>
      <c r="I44" s="43" t="inlineStr">
        <is>
          <t>토핑4종(계란,파,치즈,떡국떡)</t>
        </is>
      </c>
      <c r="J44" s="44" t="inlineStr">
        <is>
          <t>토핑4종(계란,파,치즈,양파)</t>
        </is>
      </c>
      <c r="K44" s="9" t="n"/>
    </row>
    <row r="45" ht="9" customHeight="1" s="225">
      <c r="A45" s="1" t="n"/>
      <c r="B45" s="45" t="n"/>
      <c r="C45" s="45" t="n"/>
      <c r="D45" s="45" t="n"/>
      <c r="E45" s="45" t="n"/>
      <c r="F45" s="46" t="n"/>
      <c r="G45" s="46" t="n"/>
      <c r="H45" s="46" t="n"/>
      <c r="I45" s="46" t="n"/>
      <c r="J45" s="46" t="n"/>
      <c r="K45" s="1" t="n"/>
    </row>
    <row r="46" ht="28.9" customFormat="1" customHeight="1" s="48">
      <c r="A46" s="47" t="n"/>
      <c r="B46" s="119" t="inlineStr">
        <is>
          <t xml:space="preserve">* 상기메뉴는 식자재 수급에 따라 변경 될 수 있습니다.            
</t>
        </is>
      </c>
      <c r="K46" s="47" t="n"/>
      <c r="M46" s="2" t="n"/>
      <c r="N46" s="2" t="n"/>
      <c r="O46" s="2" t="n"/>
      <c r="P46" s="2" t="n"/>
      <c r="R46" s="53" t="n"/>
      <c r="S46" s="52" t="n"/>
      <c r="T46" s="2" t="n"/>
    </row>
    <row r="47" customFormat="1" s="48">
      <c r="A47" s="47" t="n"/>
      <c r="B47" s="119" t="inlineStr">
        <is>
          <t xml:space="preserve">* 저희 식당은 고객들이 남긴 음식을 절대로 재사용하지 않습니다.
</t>
        </is>
      </c>
      <c r="K47" s="47" t="n"/>
      <c r="M47" s="2" t="n"/>
      <c r="N47" s="2" t="n"/>
      <c r="O47" s="2" t="n"/>
      <c r="P47" s="2" t="n"/>
      <c r="R47" s="53" t="n"/>
      <c r="S47" s="52" t="n"/>
      <c r="T47" s="2" t="n"/>
    </row>
    <row r="48" ht="22.9" customFormat="1" customHeight="1" s="48">
      <c r="A48" s="47" t="n"/>
      <c r="B48" s="119" t="inlineStr">
        <is>
          <t xml:space="preserve">* 원산지 표시는 일일메뉴에 게시합니다. </t>
        </is>
      </c>
      <c r="K48" s="47" t="n"/>
      <c r="M48" s="2" t="n"/>
      <c r="N48" s="2" t="n"/>
      <c r="O48" s="2" t="n"/>
      <c r="P48" s="2" t="n"/>
      <c r="R48" s="53" t="n"/>
      <c r="S48" s="52" t="n"/>
      <c r="T48" s="2" t="n"/>
    </row>
    <row r="49" ht="33.6" customHeight="1" s="225"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</row>
    <row r="51" ht="14.45" customHeight="1" s="225"/>
    <row r="52" ht="14.45" customHeight="1" s="225"/>
  </sheetData>
  <mergeCells count="23">
    <mergeCell ref="D15:E16"/>
    <mergeCell ref="B1:J1"/>
    <mergeCell ref="E19:E22"/>
    <mergeCell ref="D43:E44"/>
    <mergeCell ref="D5:D9"/>
    <mergeCell ref="D18:D22"/>
    <mergeCell ref="B37:C44"/>
    <mergeCell ref="E6:E9"/>
    <mergeCell ref="D29:D33"/>
    <mergeCell ref="B18:C35"/>
    <mergeCell ref="D10:D14"/>
    <mergeCell ref="D34:E35"/>
    <mergeCell ref="B4:D4"/>
    <mergeCell ref="E24:E28"/>
    <mergeCell ref="E11:E14"/>
    <mergeCell ref="B5:C16"/>
    <mergeCell ref="D37:D42"/>
    <mergeCell ref="B47:J47"/>
    <mergeCell ref="B46:J46"/>
    <mergeCell ref="E29:E33"/>
    <mergeCell ref="E38:E42"/>
    <mergeCell ref="D23:D28"/>
    <mergeCell ref="B48:J48"/>
  </mergeCells>
  <printOptions horizontalCentered="1" verticalCentered="1"/>
  <pageMargins left="0" right="0" top="0" bottom="0" header="0" footer="0"/>
  <pageSetup orientation="landscape" paperSize="9" scale="33" fitToHeight="0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T105"/>
  <sheetViews>
    <sheetView view="pageBreakPreview" topLeftCell="A23" zoomScale="53" zoomScaleNormal="100" zoomScaleSheetLayoutView="53" workbookViewId="0">
      <selection activeCell="F36" sqref="F36:H36"/>
    </sheetView>
  </sheetViews>
  <sheetFormatPr baseColWidth="8" defaultRowHeight="16.5"/>
  <cols>
    <col width="17.25" customWidth="1" style="74" min="1" max="1"/>
    <col width="17.25" customWidth="1" style="225" min="2" max="4"/>
    <col width="17.25" customWidth="1" style="74" min="5" max="5"/>
    <col width="17.25" customWidth="1" style="225" min="6" max="8"/>
    <col width="17.25" customWidth="1" style="74" min="9" max="9"/>
    <col width="17.25" customWidth="1" style="225" min="10" max="12"/>
    <col width="17.25" customWidth="1" style="74" min="13" max="13"/>
    <col width="17.25" customWidth="1" style="225" min="14" max="16"/>
    <col width="17.25" customWidth="1" style="74" min="17" max="17"/>
    <col width="17.25" customWidth="1" style="225" min="18" max="20"/>
  </cols>
  <sheetData>
    <row r="1" ht="33" customFormat="1" customHeight="1" s="65" thickTop="1">
      <c r="A1" s="268" t="inlineStr">
        <is>
          <t>보존식 기록표 (조식)</t>
        </is>
      </c>
      <c r="B1" s="269" t="n"/>
      <c r="C1" s="269" t="n"/>
      <c r="D1" s="270" t="n"/>
      <c r="E1" s="268" t="inlineStr">
        <is>
          <t>보존식 기록표 (조식)</t>
        </is>
      </c>
      <c r="F1" s="269" t="n"/>
      <c r="G1" s="269" t="n"/>
      <c r="H1" s="270" t="n"/>
      <c r="I1" s="268" t="inlineStr">
        <is>
          <t>보존식 기록표 (조식)</t>
        </is>
      </c>
      <c r="J1" s="269" t="n"/>
      <c r="K1" s="269" t="n"/>
      <c r="L1" s="270" t="n"/>
      <c r="M1" s="268" t="inlineStr">
        <is>
          <t>보존식 기록표 (조식)</t>
        </is>
      </c>
      <c r="N1" s="269" t="n"/>
      <c r="O1" s="269" t="n"/>
      <c r="P1" s="270" t="n"/>
      <c r="Q1" s="268" t="inlineStr">
        <is>
          <t>보존식 기록표 (조식)</t>
        </is>
      </c>
      <c r="R1" s="269" t="n"/>
      <c r="S1" s="269" t="n"/>
      <c r="T1" s="270" t="n"/>
    </row>
    <row r="2" ht="33" customFormat="1" customHeight="1" s="66">
      <c r="A2" s="169" t="inlineStr">
        <is>
          <t>식단명
월
코너2</t>
        </is>
      </c>
      <c r="B2" s="271">
        <f>'26-4월4주차'!F5</f>
        <v/>
      </c>
      <c r="C2" s="272" t="n"/>
      <c r="D2" s="273" t="n"/>
      <c r="E2" s="174" t="inlineStr">
        <is>
          <t>식단명
화
코너2</t>
        </is>
      </c>
      <c r="F2" s="274">
        <f>'26-4월4주차'!#REF!</f>
        <v/>
      </c>
      <c r="G2" s="262" t="n"/>
      <c r="H2" s="275" t="n"/>
      <c r="I2" s="179" t="inlineStr">
        <is>
          <t>식단명
수
코너2</t>
        </is>
      </c>
      <c r="J2" s="176">
        <f>'26-4월4주차'!#REF!</f>
        <v/>
      </c>
      <c r="K2" s="262" t="n"/>
      <c r="L2" s="262" t="n"/>
      <c r="M2" s="181" t="inlineStr">
        <is>
          <t>식단명
목
코너2</t>
        </is>
      </c>
      <c r="N2" s="276">
        <f>'26-4월4주차'!I5</f>
        <v/>
      </c>
      <c r="O2" s="262" t="n"/>
      <c r="P2" s="277" t="n"/>
      <c r="Q2" s="184" t="inlineStr">
        <is>
          <t>식단명
금
코너2</t>
        </is>
      </c>
      <c r="R2" s="276">
        <f>'26-4월4주차'!J5</f>
        <v/>
      </c>
      <c r="S2" s="262" t="n"/>
      <c r="T2" s="277" t="n"/>
    </row>
    <row r="3" ht="33" customFormat="1" customHeight="1" s="66">
      <c r="A3" s="278" t="n"/>
      <c r="B3" s="271">
        <f>'26-4월4주차'!F6</f>
        <v/>
      </c>
      <c r="C3" s="272" t="n"/>
      <c r="D3" s="273" t="n"/>
      <c r="E3" s="278" t="n"/>
      <c r="F3" s="274">
        <f>'26-4월4주차'!G5</f>
        <v/>
      </c>
      <c r="G3" s="262" t="n"/>
      <c r="H3" s="275" t="n"/>
      <c r="I3" s="278" t="n"/>
      <c r="J3" s="176">
        <f>'26-4월4주차'!H6</f>
        <v/>
      </c>
      <c r="K3" s="262" t="n"/>
      <c r="L3" s="262" t="n"/>
      <c r="M3" s="279" t="n"/>
      <c r="N3" s="276">
        <f>'26-4월4주차'!I6</f>
        <v/>
      </c>
      <c r="O3" s="262" t="n"/>
      <c r="P3" s="277" t="n"/>
      <c r="Q3" s="234" t="n"/>
      <c r="R3" s="276">
        <f>'26-4월4주차'!J6</f>
        <v/>
      </c>
      <c r="S3" s="262" t="n"/>
      <c r="T3" s="277" t="n"/>
    </row>
    <row r="4" ht="33" customFormat="1" customHeight="1" s="66">
      <c r="A4" s="278" t="n"/>
      <c r="B4" s="271">
        <f>'26-4월4주차'!F7</f>
        <v/>
      </c>
      <c r="C4" s="272" t="n"/>
      <c r="D4" s="273" t="n"/>
      <c r="E4" s="278" t="n"/>
      <c r="F4" s="274">
        <f>'26-4월4주차'!G7</f>
        <v/>
      </c>
      <c r="G4" s="262" t="n"/>
      <c r="H4" s="275" t="n"/>
      <c r="I4" s="278" t="n"/>
      <c r="J4" s="176">
        <f>'26-4월4주차'!H7</f>
        <v/>
      </c>
      <c r="K4" s="262" t="n"/>
      <c r="L4" s="262" t="n"/>
      <c r="M4" s="279" t="n"/>
      <c r="N4" s="276">
        <f>'26-4월4주차'!I7</f>
        <v/>
      </c>
      <c r="O4" s="262" t="n"/>
      <c r="P4" s="277" t="n"/>
      <c r="Q4" s="234" t="n"/>
      <c r="R4" s="276">
        <f>'26-4월4주차'!J7</f>
        <v/>
      </c>
      <c r="S4" s="262" t="n"/>
      <c r="T4" s="277" t="n"/>
    </row>
    <row r="5" ht="33" customFormat="1" customHeight="1" s="66">
      <c r="A5" s="278" t="n"/>
      <c r="B5" s="271">
        <f>'26-4월4주차'!F8</f>
        <v/>
      </c>
      <c r="C5" s="272" t="n"/>
      <c r="D5" s="273" t="n"/>
      <c r="E5" s="278" t="n"/>
      <c r="F5" s="274">
        <f>'26-4월4주차'!G8</f>
        <v/>
      </c>
      <c r="G5" s="262" t="n"/>
      <c r="H5" s="275" t="n"/>
      <c r="I5" s="278" t="n"/>
      <c r="J5" s="176">
        <f>'26-4월4주차'!H8</f>
        <v/>
      </c>
      <c r="K5" s="262" t="n"/>
      <c r="L5" s="262" t="n"/>
      <c r="M5" s="279" t="n"/>
      <c r="N5" s="276">
        <f>'26-4월4주차'!I8</f>
        <v/>
      </c>
      <c r="O5" s="262" t="n"/>
      <c r="P5" s="277" t="n"/>
      <c r="Q5" s="234" t="n"/>
      <c r="R5" s="276">
        <f>'26-4월4주차'!J8</f>
        <v/>
      </c>
      <c r="S5" s="262" t="n"/>
      <c r="T5" s="277" t="n"/>
    </row>
    <row r="6" ht="33" customFormat="1" customHeight="1" s="66">
      <c r="A6" s="278" t="n"/>
      <c r="B6" s="271">
        <f>'26-4월4주차'!F9</f>
        <v/>
      </c>
      <c r="C6" s="272" t="n"/>
      <c r="D6" s="273" t="n"/>
      <c r="E6" s="278" t="n"/>
      <c r="F6" s="274">
        <f>'26-4월4주차'!G9</f>
        <v/>
      </c>
      <c r="G6" s="262" t="n"/>
      <c r="H6" s="275" t="n"/>
      <c r="I6" s="278" t="n"/>
      <c r="J6" s="176">
        <f>'26-4월4주차'!H9</f>
        <v/>
      </c>
      <c r="K6" s="262" t="n"/>
      <c r="L6" s="262" t="n"/>
      <c r="M6" s="279" t="n"/>
      <c r="N6" s="276">
        <f>'26-4월4주차'!I9</f>
        <v/>
      </c>
      <c r="O6" s="262" t="n"/>
      <c r="P6" s="277" t="n"/>
      <c r="Q6" s="234" t="n"/>
      <c r="R6" s="276">
        <f>'26-4월4주차'!J9</f>
        <v/>
      </c>
      <c r="S6" s="262" t="n"/>
      <c r="T6" s="277" t="n"/>
    </row>
    <row r="7" ht="33" customFormat="1" customHeight="1" s="70">
      <c r="A7" s="67" t="inlineStr">
        <is>
          <t>식당</t>
        </is>
      </c>
      <c r="B7" s="280" t="inlineStr">
        <is>
          <t>NH농협타워점</t>
        </is>
      </c>
      <c r="C7" s="272" t="n"/>
      <c r="D7" s="273" t="n"/>
      <c r="E7" s="67" t="inlineStr">
        <is>
          <t>식당</t>
        </is>
      </c>
      <c r="F7" s="280" t="inlineStr">
        <is>
          <t>NH농협타워점</t>
        </is>
      </c>
      <c r="G7" s="272" t="n"/>
      <c r="H7" s="273" t="n"/>
      <c r="I7" s="67" t="inlineStr">
        <is>
          <t>식당</t>
        </is>
      </c>
      <c r="J7" s="202" t="inlineStr">
        <is>
          <t>NH농협타워점</t>
        </is>
      </c>
      <c r="K7" s="272" t="n"/>
      <c r="L7" s="272" t="n"/>
      <c r="M7" s="68" t="inlineStr">
        <is>
          <t>식당</t>
        </is>
      </c>
      <c r="N7" s="76" t="inlineStr">
        <is>
          <t>NH농협타워점</t>
        </is>
      </c>
      <c r="O7" s="272" t="n"/>
      <c r="P7" s="281" t="n"/>
      <c r="Q7" s="69" t="inlineStr">
        <is>
          <t>식당</t>
        </is>
      </c>
      <c r="R7" s="280" t="inlineStr">
        <is>
          <t>NH농협타워점</t>
        </is>
      </c>
      <c r="S7" s="272" t="n"/>
      <c r="T7" s="273" t="n"/>
    </row>
    <row r="8" ht="139.15" customFormat="1" customHeight="1" s="70">
      <c r="A8" s="67" t="inlineStr">
        <is>
          <t>관리리준</t>
        </is>
      </c>
      <c r="B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8" s="272" t="n"/>
      <c r="D8" s="273" t="n"/>
      <c r="E8" s="67" t="inlineStr">
        <is>
          <t>관리리준</t>
        </is>
      </c>
      <c r="F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8" s="272" t="n"/>
      <c r="H8" s="273" t="n"/>
      <c r="I8" s="67" t="inlineStr">
        <is>
          <t>관리리준</t>
        </is>
      </c>
      <c r="J8" s="186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8" s="272" t="n"/>
      <c r="L8" s="272" t="n"/>
      <c r="M8" s="68" t="inlineStr">
        <is>
          <t>관리리준</t>
        </is>
      </c>
      <c r="N8" s="283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8" s="272" t="n"/>
      <c r="P8" s="281" t="n"/>
      <c r="Q8" s="69" t="inlineStr">
        <is>
          <t>관리리준</t>
        </is>
      </c>
      <c r="R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8" s="272" t="n"/>
      <c r="T8" s="273" t="n"/>
    </row>
    <row r="9" ht="33" customFormat="1" customHeight="1" s="70">
      <c r="A9" s="67" t="inlineStr">
        <is>
          <t>채취일</t>
        </is>
      </c>
      <c r="B9" s="284">
        <f>'26-4월4주차'!F4</f>
        <v/>
      </c>
      <c r="C9" s="272" t="n"/>
      <c r="D9" s="71" t="n">
        <v>0.3125</v>
      </c>
      <c r="E9" s="67" t="inlineStr">
        <is>
          <t>채취일</t>
        </is>
      </c>
      <c r="F9" s="284">
        <f>B9+1</f>
        <v/>
      </c>
      <c r="G9" s="272" t="n"/>
      <c r="H9" s="71" t="n">
        <v>0.3125</v>
      </c>
      <c r="I9" s="67" t="inlineStr">
        <is>
          <t>채취일</t>
        </is>
      </c>
      <c r="J9" s="284">
        <f>F9+1</f>
        <v/>
      </c>
      <c r="K9" s="272" t="n"/>
      <c r="L9" s="71" t="n">
        <v>0.3125</v>
      </c>
      <c r="M9" s="68" t="inlineStr">
        <is>
          <t>채취일</t>
        </is>
      </c>
      <c r="N9" s="284">
        <f>J9+1</f>
        <v/>
      </c>
      <c r="O9" s="272" t="n"/>
      <c r="P9" s="71" t="n">
        <v>0.3125</v>
      </c>
      <c r="Q9" s="69" t="inlineStr">
        <is>
          <t>채취일</t>
        </is>
      </c>
      <c r="R9" s="284">
        <f>N9+1</f>
        <v/>
      </c>
      <c r="S9" s="272" t="n"/>
      <c r="T9" s="71" t="n">
        <v>0.3125</v>
      </c>
    </row>
    <row r="10" ht="33" customFormat="1" customHeight="1" s="70">
      <c r="A10" s="67" t="inlineStr">
        <is>
          <t>폐기일</t>
        </is>
      </c>
      <c r="B10" s="284">
        <f>B9+6</f>
        <v/>
      </c>
      <c r="C10" s="272" t="n"/>
      <c r="D10" s="71" t="n">
        <v>0.3125</v>
      </c>
      <c r="E10" s="67" t="inlineStr">
        <is>
          <t>폐기일</t>
        </is>
      </c>
      <c r="F10" s="284">
        <f>F9+6</f>
        <v/>
      </c>
      <c r="G10" s="272" t="n"/>
      <c r="H10" s="71" t="n">
        <v>0.3125</v>
      </c>
      <c r="I10" s="67" t="inlineStr">
        <is>
          <t>폐기일</t>
        </is>
      </c>
      <c r="J10" s="284">
        <f>J9+6</f>
        <v/>
      </c>
      <c r="K10" s="272" t="n"/>
      <c r="L10" s="71" t="n">
        <v>0.3125</v>
      </c>
      <c r="M10" s="68" t="inlineStr">
        <is>
          <t>폐기일</t>
        </is>
      </c>
      <c r="N10" s="284">
        <f>N9+6</f>
        <v/>
      </c>
      <c r="O10" s="272" t="n"/>
      <c r="P10" s="71" t="n">
        <v>0.3125</v>
      </c>
      <c r="Q10" s="69" t="inlineStr">
        <is>
          <t>폐기일</t>
        </is>
      </c>
      <c r="R10" s="284">
        <f>R9+6</f>
        <v/>
      </c>
      <c r="S10" s="272" t="n"/>
      <c r="T10" s="71" t="n">
        <v>0.3125</v>
      </c>
    </row>
    <row r="11" ht="33" customFormat="1" customHeight="1" s="70" thickBot="1">
      <c r="A11" s="72" t="inlineStr">
        <is>
          <t>채취자</t>
        </is>
      </c>
      <c r="B11" s="285" t="n"/>
      <c r="C11" s="286" t="n"/>
      <c r="D11" s="287" t="n"/>
      <c r="E11" s="72" t="inlineStr">
        <is>
          <t>채취자</t>
        </is>
      </c>
      <c r="F11" s="285" t="n"/>
      <c r="G11" s="286" t="n"/>
      <c r="H11" s="287" t="n"/>
      <c r="I11" s="72" t="inlineStr">
        <is>
          <t>채취자</t>
        </is>
      </c>
      <c r="J11" s="196" t="n"/>
      <c r="K11" s="286" t="n"/>
      <c r="L11" s="286" t="n"/>
      <c r="M11" s="72" t="inlineStr">
        <is>
          <t>채취자</t>
        </is>
      </c>
      <c r="N11" s="288" t="n"/>
      <c r="O11" s="289" t="n"/>
      <c r="P11" s="290" t="n"/>
      <c r="Q11" s="72" t="inlineStr">
        <is>
          <t>채취자</t>
        </is>
      </c>
      <c r="R11" s="285" t="n"/>
      <c r="S11" s="286" t="n"/>
      <c r="T11" s="287" t="n"/>
    </row>
    <row r="12" ht="33" customFormat="1" customHeight="1" s="73" thickTop="1">
      <c r="A12" s="268" t="inlineStr">
        <is>
          <t>보존식 기록표 (조식)</t>
        </is>
      </c>
      <c r="B12" s="269" t="n"/>
      <c r="C12" s="269" t="n"/>
      <c r="D12" s="270" t="n"/>
      <c r="E12" s="268" t="inlineStr">
        <is>
          <t>보존식 기록표 (조식)</t>
        </is>
      </c>
      <c r="F12" s="269" t="n"/>
      <c r="G12" s="269" t="n"/>
      <c r="H12" s="270" t="n"/>
      <c r="I12" s="268" t="inlineStr">
        <is>
          <t>보존식 기록표 (조식)</t>
        </is>
      </c>
      <c r="J12" s="269" t="n"/>
      <c r="K12" s="269" t="n"/>
      <c r="L12" s="270" t="n"/>
      <c r="M12" s="268" t="inlineStr">
        <is>
          <t>보존식 기록표 (조식)</t>
        </is>
      </c>
      <c r="N12" s="269" t="n"/>
      <c r="O12" s="269" t="n"/>
      <c r="P12" s="270" t="n"/>
      <c r="Q12" s="268" t="inlineStr">
        <is>
          <t>보존식 기록표 (조식)</t>
        </is>
      </c>
      <c r="R12" s="269" t="n"/>
      <c r="S12" s="269" t="n"/>
      <c r="T12" s="270" t="n"/>
    </row>
    <row r="13" ht="33" customFormat="1" customHeight="1" s="73">
      <c r="A13" s="169" t="inlineStr">
        <is>
          <t xml:space="preserve">식단명
월
코너3
</t>
        </is>
      </c>
      <c r="B13" s="280">
        <f>'26-4월4주차'!F10</f>
        <v/>
      </c>
      <c r="C13" s="272" t="n"/>
      <c r="D13" s="273" t="n"/>
      <c r="E13" s="174" t="inlineStr">
        <is>
          <t xml:space="preserve">식단명
화
코너3
</t>
        </is>
      </c>
      <c r="F13" s="280">
        <f>'26-4월4주차'!G10</f>
        <v/>
      </c>
      <c r="G13" s="272" t="n"/>
      <c r="H13" s="273" t="n"/>
      <c r="I13" s="179" t="inlineStr">
        <is>
          <t>식단명
수
코너3</t>
        </is>
      </c>
      <c r="J13" s="280">
        <f>'26-4월4주차'!H10</f>
        <v/>
      </c>
      <c r="K13" s="272" t="n"/>
      <c r="L13" s="273" t="n"/>
      <c r="M13" s="205" t="inlineStr">
        <is>
          <t>식단명
목
코너3</t>
        </is>
      </c>
      <c r="N13" s="280">
        <f>'26-4월4주차'!I10</f>
        <v/>
      </c>
      <c r="O13" s="272" t="n"/>
      <c r="P13" s="273" t="n"/>
      <c r="Q13" s="207" t="inlineStr">
        <is>
          <t>식단명
금
코너3</t>
        </is>
      </c>
      <c r="R13" s="280">
        <f>'26-4월4주차'!J10</f>
        <v/>
      </c>
      <c r="S13" s="272" t="n"/>
      <c r="T13" s="273" t="n"/>
    </row>
    <row r="14" ht="33" customFormat="1" customHeight="1" s="73">
      <c r="A14" s="278" t="n"/>
      <c r="B14" s="280">
        <f>'26-4월4주차'!F11</f>
        <v/>
      </c>
      <c r="C14" s="272" t="n"/>
      <c r="D14" s="273" t="n"/>
      <c r="E14" s="278" t="n"/>
      <c r="F14" s="280">
        <f>'26-4월4주차'!G11</f>
        <v/>
      </c>
      <c r="G14" s="272" t="n"/>
      <c r="H14" s="273" t="n"/>
      <c r="I14" s="278" t="n"/>
      <c r="J14" s="280">
        <f>'26-4월4주차'!H11</f>
        <v/>
      </c>
      <c r="K14" s="272" t="n"/>
      <c r="L14" s="273" t="n"/>
      <c r="M14" s="278" t="n"/>
      <c r="N14" s="280">
        <f>'26-4월4주차'!I11</f>
        <v/>
      </c>
      <c r="O14" s="272" t="n"/>
      <c r="P14" s="273" t="n"/>
      <c r="Q14" s="278" t="n"/>
      <c r="R14" s="280">
        <f>'26-4월4주차'!J11</f>
        <v/>
      </c>
      <c r="S14" s="272" t="n"/>
      <c r="T14" s="273" t="n"/>
    </row>
    <row r="15" ht="33" customFormat="1" customHeight="1" s="73">
      <c r="A15" s="278" t="n"/>
      <c r="B15" s="280">
        <f>'26-4월4주차'!F12</f>
        <v/>
      </c>
      <c r="C15" s="272" t="n"/>
      <c r="D15" s="273" t="n"/>
      <c r="E15" s="278" t="n"/>
      <c r="F15" s="280">
        <f>'26-4월4주차'!G12</f>
        <v/>
      </c>
      <c r="G15" s="272" t="n"/>
      <c r="H15" s="273" t="n"/>
      <c r="I15" s="278" t="n"/>
      <c r="J15" s="280">
        <f>'26-4월4주차'!H12</f>
        <v/>
      </c>
      <c r="K15" s="272" t="n"/>
      <c r="L15" s="273" t="n"/>
      <c r="M15" s="278" t="n"/>
      <c r="N15" s="280">
        <f>'26-4월4주차'!I12</f>
        <v/>
      </c>
      <c r="O15" s="272" t="n"/>
      <c r="P15" s="273" t="n"/>
      <c r="Q15" s="278" t="n"/>
      <c r="R15" s="280">
        <f>'26-4월4주차'!J12</f>
        <v/>
      </c>
      <c r="S15" s="272" t="n"/>
      <c r="T15" s="273" t="n"/>
    </row>
    <row r="16" ht="33" customFormat="1" customHeight="1" s="73">
      <c r="A16" s="278" t="n"/>
      <c r="B16" s="280">
        <f>'26-4월4주차'!F13</f>
        <v/>
      </c>
      <c r="C16" s="272" t="n"/>
      <c r="D16" s="273" t="n"/>
      <c r="E16" s="278" t="n"/>
      <c r="F16" s="280">
        <f>'26-4월4주차'!G13</f>
        <v/>
      </c>
      <c r="G16" s="272" t="n"/>
      <c r="H16" s="273" t="n"/>
      <c r="I16" s="278" t="n"/>
      <c r="J16" s="280">
        <f>'26-4월4주차'!H13</f>
        <v/>
      </c>
      <c r="K16" s="272" t="n"/>
      <c r="L16" s="273" t="n"/>
      <c r="M16" s="278" t="n"/>
      <c r="N16" s="280">
        <f>'26-4월4주차'!I13</f>
        <v/>
      </c>
      <c r="O16" s="272" t="n"/>
      <c r="P16" s="273" t="n"/>
      <c r="Q16" s="278" t="n"/>
      <c r="R16" s="280">
        <f>'26-4월4주차'!J13</f>
        <v/>
      </c>
      <c r="S16" s="272" t="n"/>
      <c r="T16" s="273" t="n"/>
    </row>
    <row r="17" ht="33" customFormat="1" customHeight="1" s="73">
      <c r="A17" s="67" t="inlineStr">
        <is>
          <t>식당</t>
        </is>
      </c>
      <c r="B17" s="280" t="inlineStr">
        <is>
          <t>NH농협타워점</t>
        </is>
      </c>
      <c r="C17" s="272" t="n"/>
      <c r="D17" s="273" t="n"/>
      <c r="E17" s="67" t="inlineStr">
        <is>
          <t>식당</t>
        </is>
      </c>
      <c r="F17" s="280" t="inlineStr">
        <is>
          <t>NH농협타워점</t>
        </is>
      </c>
      <c r="G17" s="272" t="n"/>
      <c r="H17" s="273" t="n"/>
      <c r="I17" s="67" t="inlineStr">
        <is>
          <t>식당</t>
        </is>
      </c>
      <c r="J17" s="280" t="inlineStr">
        <is>
          <t>NH농협타워점</t>
        </is>
      </c>
      <c r="K17" s="272" t="n"/>
      <c r="L17" s="273" t="n"/>
      <c r="M17" s="67" t="inlineStr">
        <is>
          <t>식당</t>
        </is>
      </c>
      <c r="N17" s="280" t="inlineStr">
        <is>
          <t>NH농협타워점</t>
        </is>
      </c>
      <c r="O17" s="272" t="n"/>
      <c r="P17" s="273" t="n"/>
      <c r="Q17" s="67" t="inlineStr">
        <is>
          <t>식당</t>
        </is>
      </c>
      <c r="R17" s="280" t="inlineStr">
        <is>
          <t>NH농협타워점</t>
        </is>
      </c>
      <c r="S17" s="272" t="n"/>
      <c r="T17" s="273" t="n"/>
    </row>
    <row r="18" ht="139.15" customFormat="1" customHeight="1" s="70">
      <c r="A18" s="67" t="inlineStr">
        <is>
          <t>관리리준</t>
        </is>
      </c>
      <c r="B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18" s="272" t="n"/>
      <c r="D18" s="273" t="n"/>
      <c r="E18" s="67" t="inlineStr">
        <is>
          <t>관리리준</t>
        </is>
      </c>
      <c r="F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18" s="272" t="n"/>
      <c r="H18" s="273" t="n"/>
      <c r="I18" s="67" t="inlineStr">
        <is>
          <t>관리리준</t>
        </is>
      </c>
      <c r="J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18" s="272" t="n"/>
      <c r="L18" s="273" t="n"/>
      <c r="M18" s="67" t="inlineStr">
        <is>
          <t>관리리준</t>
        </is>
      </c>
      <c r="N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18" s="272" t="n"/>
      <c r="P18" s="273" t="n"/>
      <c r="Q18" s="67" t="inlineStr">
        <is>
          <t>관리리준</t>
        </is>
      </c>
      <c r="R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18" s="272" t="n"/>
      <c r="T18" s="273" t="n"/>
    </row>
    <row r="19" ht="33" customFormat="1" customHeight="1" s="73">
      <c r="A19" s="67" t="inlineStr">
        <is>
          <t>채취일</t>
        </is>
      </c>
      <c r="B19" s="284">
        <f>B9</f>
        <v/>
      </c>
      <c r="C19" s="272" t="n"/>
      <c r="D19" s="71" t="n">
        <v>0.3125</v>
      </c>
      <c r="E19" s="67" t="inlineStr">
        <is>
          <t>채취일</t>
        </is>
      </c>
      <c r="F19" s="284">
        <f>F9</f>
        <v/>
      </c>
      <c r="G19" s="272" t="n"/>
      <c r="H19" s="71" t="n">
        <v>0.3125</v>
      </c>
      <c r="I19" s="67" t="inlineStr">
        <is>
          <t>채취일</t>
        </is>
      </c>
      <c r="J19" s="284">
        <f>J9</f>
        <v/>
      </c>
      <c r="K19" s="272" t="n"/>
      <c r="L19" s="71" t="n">
        <v>0.3125</v>
      </c>
      <c r="M19" s="67" t="inlineStr">
        <is>
          <t>채취일</t>
        </is>
      </c>
      <c r="N19" s="284">
        <f>N9</f>
        <v/>
      </c>
      <c r="O19" s="272" t="n"/>
      <c r="P19" s="71" t="n">
        <v>0.3125</v>
      </c>
      <c r="Q19" s="67" t="inlineStr">
        <is>
          <t>채취일</t>
        </is>
      </c>
      <c r="R19" s="284">
        <f>R9</f>
        <v/>
      </c>
      <c r="S19" s="272" t="n"/>
      <c r="T19" s="71" t="n">
        <v>0.3125</v>
      </c>
    </row>
    <row r="20" ht="33" customFormat="1" customHeight="1" s="73">
      <c r="A20" s="67" t="inlineStr">
        <is>
          <t>폐기일</t>
        </is>
      </c>
      <c r="B20" s="284">
        <f>B19+6</f>
        <v/>
      </c>
      <c r="C20" s="272" t="n"/>
      <c r="D20" s="71" t="n">
        <v>0.3125</v>
      </c>
      <c r="E20" s="67" t="inlineStr">
        <is>
          <t>폐기일</t>
        </is>
      </c>
      <c r="F20" s="284">
        <f>F19+6</f>
        <v/>
      </c>
      <c r="G20" s="272" t="n"/>
      <c r="H20" s="71" t="n">
        <v>0.3125</v>
      </c>
      <c r="I20" s="67" t="inlineStr">
        <is>
          <t>폐기일</t>
        </is>
      </c>
      <c r="J20" s="284">
        <f>J19+6</f>
        <v/>
      </c>
      <c r="K20" s="272" t="n"/>
      <c r="L20" s="71" t="n">
        <v>0.3125</v>
      </c>
      <c r="M20" s="67" t="inlineStr">
        <is>
          <t>폐기일</t>
        </is>
      </c>
      <c r="N20" s="284">
        <f>N19+6</f>
        <v/>
      </c>
      <c r="O20" s="272" t="n"/>
      <c r="P20" s="71" t="n">
        <v>0.3125</v>
      </c>
      <c r="Q20" s="67" t="inlineStr">
        <is>
          <t>폐기일</t>
        </is>
      </c>
      <c r="R20" s="284">
        <f>R19+6</f>
        <v/>
      </c>
      <c r="S20" s="272" t="n"/>
      <c r="T20" s="71" t="n">
        <v>0.3125</v>
      </c>
    </row>
    <row r="21" ht="33" customFormat="1" customHeight="1" s="73" thickBot="1">
      <c r="A21" s="72" t="inlineStr">
        <is>
          <t>채취자</t>
        </is>
      </c>
      <c r="B21" s="285" t="n"/>
      <c r="C21" s="286" t="n"/>
      <c r="D21" s="287" t="n"/>
      <c r="E21" s="72" t="inlineStr">
        <is>
          <t>채취자</t>
        </is>
      </c>
      <c r="F21" s="291" t="n"/>
      <c r="G21" s="262" t="n"/>
      <c r="H21" s="275" t="n"/>
      <c r="I21" s="72" t="inlineStr">
        <is>
          <t>채취자</t>
        </is>
      </c>
      <c r="J21" s="291" t="n"/>
      <c r="K21" s="262" t="n"/>
      <c r="L21" s="275" t="n"/>
      <c r="M21" s="72" t="inlineStr">
        <is>
          <t>채취자</t>
        </is>
      </c>
      <c r="N21" s="291" t="n"/>
      <c r="O21" s="262" t="n"/>
      <c r="P21" s="275" t="n"/>
      <c r="Q21" s="72" t="inlineStr">
        <is>
          <t>채취자</t>
        </is>
      </c>
      <c r="R21" s="291" t="n"/>
      <c r="S21" s="262" t="n"/>
      <c r="T21" s="275" t="n"/>
    </row>
    <row r="22" ht="33" customFormat="1" customHeight="1" s="73" thickTop="1">
      <c r="A22" s="268" t="inlineStr">
        <is>
          <t>보존식 기록표 (조식)</t>
        </is>
      </c>
      <c r="B22" s="269" t="n"/>
      <c r="C22" s="269" t="n"/>
      <c r="D22" s="270" t="n"/>
      <c r="E22" s="268" t="inlineStr">
        <is>
          <t>보존식 기록표 (조식)</t>
        </is>
      </c>
      <c r="F22" s="269" t="n"/>
      <c r="G22" s="269" t="n"/>
      <c r="H22" s="270" t="n"/>
      <c r="I22" s="268" t="inlineStr">
        <is>
          <t>보존식 기록표 (조식)</t>
        </is>
      </c>
      <c r="J22" s="269" t="n"/>
      <c r="K22" s="269" t="n"/>
      <c r="L22" s="270" t="n"/>
      <c r="M22" s="268" t="inlineStr">
        <is>
          <t>보존식 기록표 (조식)</t>
        </is>
      </c>
      <c r="N22" s="269" t="n"/>
      <c r="O22" s="269" t="n"/>
      <c r="P22" s="270" t="n"/>
      <c r="Q22" s="268" t="inlineStr">
        <is>
          <t>보존식 기록표 (조식)</t>
        </is>
      </c>
      <c r="R22" s="269" t="n"/>
      <c r="S22" s="269" t="n"/>
      <c r="T22" s="270" t="n"/>
    </row>
    <row r="23" ht="33" customFormat="1" customHeight="1" s="73">
      <c r="A23" s="169" t="inlineStr">
        <is>
          <t>식단명
월
라면코너</t>
        </is>
      </c>
      <c r="B23" s="280" t="inlineStr">
        <is>
          <t>파/계란/치즈/콩나물</t>
        </is>
      </c>
      <c r="C23" s="272" t="n"/>
      <c r="D23" s="273" t="n"/>
      <c r="E23" s="174" t="inlineStr">
        <is>
          <t>식단명
화
라면코너</t>
        </is>
      </c>
      <c r="F23" s="280" t="inlineStr">
        <is>
          <t>파/계란/치즈/비엔나</t>
        </is>
      </c>
      <c r="G23" s="272" t="n"/>
      <c r="H23" s="273" t="n"/>
      <c r="I23" s="179" t="inlineStr">
        <is>
          <t>식단명
수
라면코너</t>
        </is>
      </c>
      <c r="J23" s="280" t="inlineStr">
        <is>
          <t>파/계란/치즈/청양고추</t>
        </is>
      </c>
      <c r="K23" s="272" t="n"/>
      <c r="L23" s="273" t="n"/>
      <c r="M23" s="205" t="inlineStr">
        <is>
          <t>식단명
목
라면코너</t>
        </is>
      </c>
      <c r="N23" s="280" t="inlineStr">
        <is>
          <t>파/계란/치즈/떡국떡</t>
        </is>
      </c>
      <c r="O23" s="272" t="n"/>
      <c r="P23" s="273" t="n"/>
      <c r="Q23" s="207" t="inlineStr">
        <is>
          <t>식단명
금
라면코너</t>
        </is>
      </c>
      <c r="R23" s="280" t="inlineStr">
        <is>
          <t>파/계란/치즈/양파</t>
        </is>
      </c>
      <c r="S23" s="272" t="n"/>
      <c r="T23" s="273" t="n"/>
    </row>
    <row r="24" ht="33" customFormat="1" customHeight="1" s="73">
      <c r="A24" s="278" t="n"/>
      <c r="B24" s="280" t="inlineStr">
        <is>
          <t>단무지</t>
        </is>
      </c>
      <c r="C24" s="272" t="n"/>
      <c r="D24" s="273" t="n"/>
      <c r="E24" s="278" t="n"/>
      <c r="F24" s="280" t="inlineStr">
        <is>
          <t>단무지</t>
        </is>
      </c>
      <c r="G24" s="272" t="n"/>
      <c r="H24" s="273" t="n"/>
      <c r="I24" s="278" t="n"/>
      <c r="J24" s="280" t="inlineStr">
        <is>
          <t>단무지</t>
        </is>
      </c>
      <c r="K24" s="272" t="n"/>
      <c r="L24" s="273" t="n"/>
      <c r="M24" s="278" t="n"/>
      <c r="N24" s="280" t="inlineStr">
        <is>
          <t>단무지</t>
        </is>
      </c>
      <c r="O24" s="272" t="n"/>
      <c r="P24" s="273" t="n"/>
      <c r="Q24" s="278" t="n"/>
      <c r="R24" s="280" t="inlineStr">
        <is>
          <t>단무지</t>
        </is>
      </c>
      <c r="S24" s="272" t="n"/>
      <c r="T24" s="273" t="n"/>
    </row>
    <row r="25" ht="33" customFormat="1" customHeight="1" s="73">
      <c r="A25" s="278" t="n"/>
      <c r="B25" s="280" t="inlineStr">
        <is>
          <t>배추김치</t>
        </is>
      </c>
      <c r="C25" s="272" t="n"/>
      <c r="D25" s="273" t="n"/>
      <c r="E25" s="278" t="n"/>
      <c r="F25" s="280" t="inlineStr">
        <is>
          <t>배추김치</t>
        </is>
      </c>
      <c r="G25" s="272" t="n"/>
      <c r="H25" s="273" t="n"/>
      <c r="I25" s="278" t="n"/>
      <c r="J25" s="280" t="inlineStr">
        <is>
          <t>배추김치</t>
        </is>
      </c>
      <c r="K25" s="272" t="n"/>
      <c r="L25" s="273" t="n"/>
      <c r="M25" s="278" t="n"/>
      <c r="N25" s="280" t="inlineStr">
        <is>
          <t>배추김치</t>
        </is>
      </c>
      <c r="O25" s="272" t="n"/>
      <c r="P25" s="273" t="n"/>
      <c r="Q25" s="278" t="n"/>
      <c r="R25" s="280" t="inlineStr">
        <is>
          <t>배추김치</t>
        </is>
      </c>
      <c r="S25" s="272" t="n"/>
      <c r="T25" s="273" t="n"/>
    </row>
    <row r="26" ht="33" customFormat="1" customHeight="1" s="73">
      <c r="A26" s="278" t="n"/>
      <c r="B26" s="280" t="inlineStr">
        <is>
          <t>쌀밥</t>
        </is>
      </c>
      <c r="C26" s="272" t="n"/>
      <c r="D26" s="273" t="n"/>
      <c r="E26" s="278" t="n"/>
      <c r="F26" s="280" t="inlineStr">
        <is>
          <t>쌀밥</t>
        </is>
      </c>
      <c r="G26" s="272" t="n"/>
      <c r="H26" s="273" t="n"/>
      <c r="I26" s="278" t="n"/>
      <c r="J26" s="280" t="inlineStr">
        <is>
          <t>쌀밥</t>
        </is>
      </c>
      <c r="K26" s="272" t="n"/>
      <c r="L26" s="273" t="n"/>
      <c r="M26" s="278" t="n"/>
      <c r="N26" s="280" t="inlineStr">
        <is>
          <t>쌀밥</t>
        </is>
      </c>
      <c r="O26" s="272" t="n"/>
      <c r="P26" s="273" t="n"/>
      <c r="Q26" s="278" t="n"/>
      <c r="R26" s="280" t="inlineStr">
        <is>
          <t>쌀밥</t>
        </is>
      </c>
      <c r="S26" s="272" t="n"/>
      <c r="T26" s="273" t="n"/>
    </row>
    <row r="27" ht="33" customFormat="1" customHeight="1" s="73">
      <c r="A27" s="67" t="inlineStr">
        <is>
          <t>식당</t>
        </is>
      </c>
      <c r="B27" s="280" t="inlineStr">
        <is>
          <t>NH농협타워점</t>
        </is>
      </c>
      <c r="C27" s="272" t="n"/>
      <c r="D27" s="273" t="n"/>
      <c r="E27" s="67" t="inlineStr">
        <is>
          <t>식당</t>
        </is>
      </c>
      <c r="F27" s="280" t="inlineStr">
        <is>
          <t>NH농협타워점</t>
        </is>
      </c>
      <c r="G27" s="272" t="n"/>
      <c r="H27" s="273" t="n"/>
      <c r="I27" s="67" t="inlineStr">
        <is>
          <t>식당</t>
        </is>
      </c>
      <c r="J27" s="280" t="inlineStr">
        <is>
          <t>NH농협타워점</t>
        </is>
      </c>
      <c r="K27" s="272" t="n"/>
      <c r="L27" s="273" t="n"/>
      <c r="M27" s="67" t="inlineStr">
        <is>
          <t>식당</t>
        </is>
      </c>
      <c r="N27" s="280" t="inlineStr">
        <is>
          <t>NH농협타워점</t>
        </is>
      </c>
      <c r="O27" s="272" t="n"/>
      <c r="P27" s="273" t="n"/>
      <c r="Q27" s="67" t="inlineStr">
        <is>
          <t>식당</t>
        </is>
      </c>
      <c r="R27" s="280" t="inlineStr">
        <is>
          <t>NH농협타워점</t>
        </is>
      </c>
      <c r="S27" s="272" t="n"/>
      <c r="T27" s="273" t="n"/>
    </row>
    <row r="28" ht="139.15" customFormat="1" customHeight="1" s="70">
      <c r="A28" s="67" t="inlineStr">
        <is>
          <t>관리리준</t>
        </is>
      </c>
      <c r="B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28" s="272" t="n"/>
      <c r="D28" s="273" t="n"/>
      <c r="E28" s="67" t="inlineStr">
        <is>
          <t>관리리준</t>
        </is>
      </c>
      <c r="F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28" s="272" t="n"/>
      <c r="H28" s="273" t="n"/>
      <c r="I28" s="67" t="inlineStr">
        <is>
          <t>관리리준</t>
        </is>
      </c>
      <c r="J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28" s="272" t="n"/>
      <c r="L28" s="273" t="n"/>
      <c r="M28" s="67" t="inlineStr">
        <is>
          <t>관리리준</t>
        </is>
      </c>
      <c r="N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28" s="272" t="n"/>
      <c r="P28" s="273" t="n"/>
      <c r="Q28" s="67" t="inlineStr">
        <is>
          <t>관리리준</t>
        </is>
      </c>
      <c r="R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28" s="272" t="n"/>
      <c r="T28" s="273" t="n"/>
    </row>
    <row r="29" ht="33" customFormat="1" customHeight="1" s="73">
      <c r="A29" s="67" t="inlineStr">
        <is>
          <t>채취일</t>
        </is>
      </c>
      <c r="B29" s="284">
        <f>B9</f>
        <v/>
      </c>
      <c r="C29" s="272" t="n"/>
      <c r="D29" s="71" t="n">
        <v>0.3125</v>
      </c>
      <c r="E29" s="67" t="inlineStr">
        <is>
          <t>채취일</t>
        </is>
      </c>
      <c r="F29" s="284">
        <f>F9</f>
        <v/>
      </c>
      <c r="G29" s="272" t="n"/>
      <c r="H29" s="71" t="n">
        <v>0.3125</v>
      </c>
      <c r="I29" s="67" t="inlineStr">
        <is>
          <t>채취일</t>
        </is>
      </c>
      <c r="J29" s="284">
        <f>J9</f>
        <v/>
      </c>
      <c r="K29" s="272" t="n"/>
      <c r="L29" s="71" t="n">
        <v>0.3125</v>
      </c>
      <c r="M29" s="67" t="inlineStr">
        <is>
          <t>채취일</t>
        </is>
      </c>
      <c r="N29" s="284">
        <f>N9</f>
        <v/>
      </c>
      <c r="O29" s="272" t="n"/>
      <c r="P29" s="71" t="n">
        <v>0.3125</v>
      </c>
      <c r="Q29" s="67" t="inlineStr">
        <is>
          <t>채취일</t>
        </is>
      </c>
      <c r="R29" s="284">
        <f>R9</f>
        <v/>
      </c>
      <c r="S29" s="272" t="n"/>
      <c r="T29" s="71" t="n">
        <v>0.3125</v>
      </c>
    </row>
    <row r="30" ht="33" customFormat="1" customHeight="1" s="73">
      <c r="A30" s="67" t="inlineStr">
        <is>
          <t>폐기일</t>
        </is>
      </c>
      <c r="B30" s="284">
        <f>B29+6</f>
        <v/>
      </c>
      <c r="C30" s="272" t="n"/>
      <c r="D30" s="71" t="n">
        <v>0.3125</v>
      </c>
      <c r="E30" s="67" t="inlineStr">
        <is>
          <t>폐기일</t>
        </is>
      </c>
      <c r="F30" s="284">
        <f>F29+6</f>
        <v/>
      </c>
      <c r="G30" s="272" t="n"/>
      <c r="H30" s="71" t="n">
        <v>0.3125</v>
      </c>
      <c r="I30" s="67" t="inlineStr">
        <is>
          <t>폐기일</t>
        </is>
      </c>
      <c r="J30" s="284">
        <f>J29+6</f>
        <v/>
      </c>
      <c r="K30" s="272" t="n"/>
      <c r="L30" s="71" t="n">
        <v>0.3125</v>
      </c>
      <c r="M30" s="67" t="inlineStr">
        <is>
          <t>폐기일</t>
        </is>
      </c>
      <c r="N30" s="284">
        <f>N29+6</f>
        <v/>
      </c>
      <c r="O30" s="272" t="n"/>
      <c r="P30" s="71" t="n">
        <v>0.3125</v>
      </c>
      <c r="Q30" s="67" t="inlineStr">
        <is>
          <t>폐기일</t>
        </is>
      </c>
      <c r="R30" s="284">
        <f>R29+6</f>
        <v/>
      </c>
      <c r="S30" s="272" t="n"/>
      <c r="T30" s="71" t="n">
        <v>0.3125</v>
      </c>
    </row>
    <row r="31" ht="33" customFormat="1" customHeight="1" s="73" thickBot="1">
      <c r="A31" s="72" t="inlineStr">
        <is>
          <t>채취자</t>
        </is>
      </c>
      <c r="B31" s="285" t="n"/>
      <c r="C31" s="286" t="n"/>
      <c r="D31" s="287" t="n"/>
      <c r="E31" s="72" t="inlineStr">
        <is>
          <t>채취자</t>
        </is>
      </c>
      <c r="F31" s="291" t="n"/>
      <c r="G31" s="262" t="n"/>
      <c r="H31" s="275" t="n"/>
      <c r="I31" s="72" t="inlineStr">
        <is>
          <t>채취자</t>
        </is>
      </c>
      <c r="J31" s="291" t="n"/>
      <c r="K31" s="262" t="n"/>
      <c r="L31" s="275" t="n"/>
      <c r="M31" s="72" t="inlineStr">
        <is>
          <t>채취자</t>
        </is>
      </c>
      <c r="N31" s="291" t="n"/>
      <c r="O31" s="262" t="n"/>
      <c r="P31" s="275" t="n"/>
      <c r="Q31" s="72" t="inlineStr">
        <is>
          <t>채취자</t>
        </is>
      </c>
      <c r="R31" s="291" t="n"/>
      <c r="S31" s="262" t="n"/>
      <c r="T31" s="275" t="n"/>
    </row>
    <row r="32" ht="33" customFormat="1" customHeight="1" s="73" thickTop="1">
      <c r="A32" s="268" t="inlineStr">
        <is>
          <t>보존식 기록표 (중식)</t>
        </is>
      </c>
      <c r="B32" s="269" t="n"/>
      <c r="C32" s="269" t="n"/>
      <c r="D32" s="270" t="n"/>
      <c r="E32" s="268" t="inlineStr">
        <is>
          <t>보존식 기록표 (중식)</t>
        </is>
      </c>
      <c r="F32" s="269" t="n"/>
      <c r="G32" s="269" t="n"/>
      <c r="H32" s="270" t="n"/>
      <c r="I32" s="268" t="inlineStr">
        <is>
          <t>보존식 기록표 (중식)</t>
        </is>
      </c>
      <c r="J32" s="269" t="n"/>
      <c r="K32" s="269" t="n"/>
      <c r="L32" s="270" t="n"/>
      <c r="M32" s="268" t="inlineStr">
        <is>
          <t>보존식 기록표 (중식)</t>
        </is>
      </c>
      <c r="N32" s="269" t="n"/>
      <c r="O32" s="269" t="n"/>
      <c r="P32" s="270" t="n"/>
      <c r="Q32" s="268" t="inlineStr">
        <is>
          <t>보존식 기록표 (중식)</t>
        </is>
      </c>
      <c r="R32" s="269" t="n"/>
      <c r="S32" s="269" t="n"/>
      <c r="T32" s="270" t="n"/>
    </row>
    <row r="33" ht="33" customFormat="1" customHeight="1" s="73">
      <c r="A33" s="169" t="inlineStr">
        <is>
          <t>식단명
월
코너1</t>
        </is>
      </c>
      <c r="B33" s="271">
        <f>'26-4월4주차'!F18</f>
        <v/>
      </c>
      <c r="C33" s="272" t="n"/>
      <c r="D33" s="273" t="n"/>
      <c r="E33" s="174" t="inlineStr">
        <is>
          <t>식단명
화
코너1</t>
        </is>
      </c>
      <c r="F33" s="271">
        <f>'26-4월4주차'!G18</f>
        <v/>
      </c>
      <c r="G33" s="272" t="n"/>
      <c r="H33" s="273" t="n"/>
      <c r="I33" s="179" t="inlineStr">
        <is>
          <t>식단명
수
코너1</t>
        </is>
      </c>
      <c r="J33" s="271">
        <f>'26-4월4주차'!H19</f>
        <v/>
      </c>
      <c r="K33" s="272" t="n"/>
      <c r="L33" s="273" t="n"/>
      <c r="M33" s="181" t="inlineStr">
        <is>
          <t>식단명
목
코너1</t>
        </is>
      </c>
      <c r="N33" s="271">
        <f>'26-4월4주차'!I18</f>
        <v/>
      </c>
      <c r="O33" s="272" t="n"/>
      <c r="P33" s="273" t="n"/>
      <c r="Q33" s="184" t="inlineStr">
        <is>
          <t>식단명
금
코너1</t>
        </is>
      </c>
      <c r="R33" s="271" t="inlineStr">
        <is>
          <t>마늘보쌈</t>
        </is>
      </c>
      <c r="S33" s="272" t="n"/>
      <c r="T33" s="273" t="n"/>
    </row>
    <row r="34" ht="33" customFormat="1" customHeight="1" s="73">
      <c r="A34" s="278" t="n"/>
      <c r="B34" s="271">
        <f>'26-4월4주차'!F19</f>
        <v/>
      </c>
      <c r="C34" s="272" t="n"/>
      <c r="D34" s="273" t="n"/>
      <c r="E34" s="278" t="n"/>
      <c r="F34" s="271">
        <f>'26-4월4주차'!G19</f>
        <v/>
      </c>
      <c r="G34" s="272" t="n"/>
      <c r="H34" s="273" t="n"/>
      <c r="I34" s="278" t="n"/>
      <c r="J34" s="271">
        <f>'26-4월4주차'!#REF!</f>
        <v/>
      </c>
      <c r="K34" s="272" t="n"/>
      <c r="L34" s="273" t="n"/>
      <c r="M34" s="279" t="n"/>
      <c r="N34" s="271">
        <f>'26-4월4주차'!I19</f>
        <v/>
      </c>
      <c r="O34" s="272" t="n"/>
      <c r="P34" s="273" t="n"/>
      <c r="Q34" s="234" t="n"/>
      <c r="R34" s="271" t="inlineStr">
        <is>
          <t>잡곡밥</t>
        </is>
      </c>
      <c r="S34" s="272" t="n"/>
      <c r="T34" s="273" t="n"/>
    </row>
    <row r="35" ht="33" customFormat="1" customHeight="1" s="73">
      <c r="A35" s="278" t="n"/>
      <c r="B35" s="271">
        <f>'26-4월4주차'!F20</f>
        <v/>
      </c>
      <c r="C35" s="272" t="n"/>
      <c r="D35" s="273" t="n"/>
      <c r="E35" s="278" t="n"/>
      <c r="F35" s="271">
        <f>'26-4월4주차'!G20</f>
        <v/>
      </c>
      <c r="G35" s="272" t="n"/>
      <c r="H35" s="273" t="n"/>
      <c r="I35" s="278" t="n"/>
      <c r="J35" s="271">
        <f>'26-4월4주차'!H20</f>
        <v/>
      </c>
      <c r="K35" s="272" t="n"/>
      <c r="L35" s="273" t="n"/>
      <c r="M35" s="279" t="n"/>
      <c r="N35" s="271">
        <f>'26-4월4주차'!I20</f>
        <v/>
      </c>
      <c r="O35" s="272" t="n"/>
      <c r="P35" s="273" t="n"/>
      <c r="Q35" s="234" t="n"/>
      <c r="R35" s="271" t="inlineStr">
        <is>
          <t>냉이된장국</t>
        </is>
      </c>
      <c r="S35" s="272" t="n"/>
      <c r="T35" s="273" t="n"/>
    </row>
    <row r="36" ht="33" customFormat="1" customHeight="1" s="73">
      <c r="A36" s="278" t="n"/>
      <c r="B36" s="271">
        <f>'26-4월4주차'!F21</f>
        <v/>
      </c>
      <c r="C36" s="272" t="n"/>
      <c r="D36" s="273" t="n"/>
      <c r="E36" s="278" t="n"/>
      <c r="F36" s="271">
        <f>'26-4월4주차'!#REF!</f>
        <v/>
      </c>
      <c r="G36" s="272" t="n"/>
      <c r="H36" s="273" t="n"/>
      <c r="I36" s="278" t="n"/>
      <c r="J36" s="271">
        <f>'26-4월4주차'!H21</f>
        <v/>
      </c>
      <c r="K36" s="272" t="n"/>
      <c r="L36" s="273" t="n"/>
      <c r="M36" s="279" t="n"/>
      <c r="N36" s="271">
        <f>'26-4월4주차'!I21</f>
        <v/>
      </c>
      <c r="O36" s="272" t="n"/>
      <c r="P36" s="273" t="n"/>
      <c r="Q36" s="234" t="n"/>
      <c r="R36" s="271" t="inlineStr">
        <is>
          <t>들기름막국수</t>
        </is>
      </c>
      <c r="S36" s="272" t="n"/>
      <c r="T36" s="273" t="n"/>
    </row>
    <row r="37" ht="33" customFormat="1" customHeight="1" s="73">
      <c r="A37" s="278" t="n"/>
      <c r="B37" s="271">
        <f>'26-4월4주차'!#REF!</f>
        <v/>
      </c>
      <c r="C37" s="272" t="n"/>
      <c r="D37" s="273" t="n"/>
      <c r="E37" s="278" t="n"/>
      <c r="F37" s="271">
        <f>'26-4월4주차'!G21</f>
        <v/>
      </c>
      <c r="G37" s="272" t="n"/>
      <c r="H37" s="273" t="n"/>
      <c r="I37" s="278" t="n"/>
      <c r="J37" s="271">
        <f>'26-4월4주차'!#REF!</f>
        <v/>
      </c>
      <c r="K37" s="272" t="n"/>
      <c r="L37" s="273" t="n"/>
      <c r="M37" s="279" t="n"/>
      <c r="N37" s="271">
        <f>'26-4월4주차'!#REF!</f>
        <v/>
      </c>
      <c r="O37" s="272" t="n"/>
      <c r="P37" s="273" t="n"/>
      <c r="Q37" s="234" t="n"/>
      <c r="R37" s="271" t="inlineStr">
        <is>
          <t>모듬쌈&amp;쌈장</t>
        </is>
      </c>
      <c r="S37" s="272" t="n"/>
      <c r="T37" s="273" t="n"/>
    </row>
    <row r="38" ht="33" customFormat="1" customHeight="1" s="73">
      <c r="A38" s="278" t="n"/>
      <c r="B38" s="271">
        <f>'26-4월4주차'!F22</f>
        <v/>
      </c>
      <c r="C38" s="272" t="n"/>
      <c r="D38" s="273" t="n"/>
      <c r="E38" s="278" t="n"/>
      <c r="F38" s="271">
        <f>'26-4월4주차'!G22</f>
        <v/>
      </c>
      <c r="G38" s="272" t="n"/>
      <c r="H38" s="273" t="n"/>
      <c r="I38" s="278" t="n"/>
      <c r="J38" s="271">
        <f>'26-4월4주차'!H22</f>
        <v/>
      </c>
      <c r="K38" s="272" t="n"/>
      <c r="L38" s="273" t="n"/>
      <c r="M38" s="279" t="n"/>
      <c r="N38" s="271">
        <f>'26-4월4주차'!I22</f>
        <v/>
      </c>
      <c r="O38" s="272" t="n"/>
      <c r="P38" s="273" t="n"/>
      <c r="Q38" s="234" t="n"/>
      <c r="R38" s="271" t="inlineStr">
        <is>
          <t>배추김치</t>
        </is>
      </c>
      <c r="S38" s="272" t="n"/>
      <c r="T38" s="273" t="n"/>
    </row>
    <row r="39" ht="33" customFormat="1" customHeight="1" s="73">
      <c r="A39" s="67" t="inlineStr">
        <is>
          <t>식당</t>
        </is>
      </c>
      <c r="B39" s="280" t="inlineStr">
        <is>
          <t>NH농협타워점</t>
        </is>
      </c>
      <c r="C39" s="272" t="n"/>
      <c r="D39" s="273" t="n"/>
      <c r="E39" s="67" t="inlineStr">
        <is>
          <t>식당</t>
        </is>
      </c>
      <c r="F39" s="280" t="inlineStr">
        <is>
          <t>NH농협타워점</t>
        </is>
      </c>
      <c r="G39" s="272" t="n"/>
      <c r="H39" s="273" t="n"/>
      <c r="I39" s="67" t="inlineStr">
        <is>
          <t>식당</t>
        </is>
      </c>
      <c r="J39" s="280" t="inlineStr">
        <is>
          <t>NH농협타워점</t>
        </is>
      </c>
      <c r="K39" s="272" t="n"/>
      <c r="L39" s="273" t="n"/>
      <c r="M39" s="67" t="inlineStr">
        <is>
          <t>식당</t>
        </is>
      </c>
      <c r="N39" s="280" t="inlineStr">
        <is>
          <t>NH농협타워점</t>
        </is>
      </c>
      <c r="O39" s="272" t="n"/>
      <c r="P39" s="273" t="n"/>
      <c r="Q39" s="67" t="inlineStr">
        <is>
          <t>식당</t>
        </is>
      </c>
      <c r="R39" s="280" t="inlineStr">
        <is>
          <t>NH농협타워점</t>
        </is>
      </c>
      <c r="S39" s="272" t="n"/>
      <c r="T39" s="273" t="n"/>
    </row>
    <row r="40" ht="139.15" customFormat="1" customHeight="1" s="73">
      <c r="A40" s="67" t="inlineStr">
        <is>
          <t>관리리준</t>
        </is>
      </c>
      <c r="B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40" s="272" t="n"/>
      <c r="D40" s="273" t="n"/>
      <c r="E40" s="67" t="inlineStr">
        <is>
          <t>관리리준</t>
        </is>
      </c>
      <c r="F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40" s="272" t="n"/>
      <c r="H40" s="273" t="n"/>
      <c r="I40" s="67" t="inlineStr">
        <is>
          <t>관리리준</t>
        </is>
      </c>
      <c r="J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40" s="272" t="n"/>
      <c r="L40" s="273" t="n"/>
      <c r="M40" s="67" t="inlineStr">
        <is>
          <t>관리리준</t>
        </is>
      </c>
      <c r="N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40" s="272" t="n"/>
      <c r="P40" s="273" t="n"/>
      <c r="Q40" s="67" t="inlineStr">
        <is>
          <t>관리리준</t>
        </is>
      </c>
      <c r="R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40" s="272" t="n"/>
      <c r="T40" s="273" t="n"/>
    </row>
    <row r="41" ht="33" customFormat="1" customHeight="1" s="73">
      <c r="A41" s="67" t="inlineStr">
        <is>
          <t>채취일</t>
        </is>
      </c>
      <c r="B41" s="284">
        <f>B9</f>
        <v/>
      </c>
      <c r="C41" s="272" t="n"/>
      <c r="D41" s="71" t="n">
        <v>0.4722222222222222</v>
      </c>
      <c r="E41" s="67" t="inlineStr">
        <is>
          <t>채취일</t>
        </is>
      </c>
      <c r="F41" s="284">
        <f>F9</f>
        <v/>
      </c>
      <c r="G41" s="272" t="n"/>
      <c r="H41" s="71" t="n">
        <v>0.4722222222222222</v>
      </c>
      <c r="I41" s="67" t="inlineStr">
        <is>
          <t>채취일</t>
        </is>
      </c>
      <c r="J41" s="284">
        <f>J9</f>
        <v/>
      </c>
      <c r="K41" s="272" t="n"/>
      <c r="L41" s="71" t="n">
        <v>0.4722222222222222</v>
      </c>
      <c r="M41" s="67" t="inlineStr">
        <is>
          <t>채취일</t>
        </is>
      </c>
      <c r="N41" s="284">
        <f>N9</f>
        <v/>
      </c>
      <c r="O41" s="272" t="n"/>
      <c r="P41" s="71" t="n">
        <v>0.4722222222222222</v>
      </c>
      <c r="Q41" s="67" t="inlineStr">
        <is>
          <t>채취일</t>
        </is>
      </c>
      <c r="R41" s="284">
        <f>R9</f>
        <v/>
      </c>
      <c r="S41" s="272" t="n"/>
      <c r="T41" s="71" t="n">
        <v>0.4722222222222222</v>
      </c>
    </row>
    <row r="42" ht="33" customFormat="1" customHeight="1" s="73">
      <c r="A42" s="67" t="inlineStr">
        <is>
          <t>폐기일</t>
        </is>
      </c>
      <c r="B42" s="284">
        <f>B10</f>
        <v/>
      </c>
      <c r="C42" s="272" t="n"/>
      <c r="D42" s="71" t="n">
        <v>0.4722222222222222</v>
      </c>
      <c r="E42" s="67" t="inlineStr">
        <is>
          <t>폐기일</t>
        </is>
      </c>
      <c r="F42" s="284">
        <f>F10</f>
        <v/>
      </c>
      <c r="G42" s="272" t="n"/>
      <c r="H42" s="71" t="n">
        <v>0.4722222222222222</v>
      </c>
      <c r="I42" s="67" t="inlineStr">
        <is>
          <t>폐기일</t>
        </is>
      </c>
      <c r="J42" s="284">
        <f>J10</f>
        <v/>
      </c>
      <c r="K42" s="272" t="n"/>
      <c r="L42" s="71" t="n">
        <v>0.4722222222222222</v>
      </c>
      <c r="M42" s="67" t="inlineStr">
        <is>
          <t>폐기일</t>
        </is>
      </c>
      <c r="N42" s="284">
        <f>N10</f>
        <v/>
      </c>
      <c r="O42" s="272" t="n"/>
      <c r="P42" s="71" t="n">
        <v>0.4722222222222222</v>
      </c>
      <c r="Q42" s="67" t="inlineStr">
        <is>
          <t>폐기일</t>
        </is>
      </c>
      <c r="R42" s="284">
        <f>R10</f>
        <v/>
      </c>
      <c r="S42" s="272" t="n"/>
      <c r="T42" s="71" t="n">
        <v>0.4722222222222222</v>
      </c>
    </row>
    <row r="43" ht="33" customFormat="1" customHeight="1" s="73" thickBot="1">
      <c r="A43" s="72" t="inlineStr">
        <is>
          <t>채취자</t>
        </is>
      </c>
      <c r="B43" s="285" t="n"/>
      <c r="C43" s="286" t="n"/>
      <c r="D43" s="287" t="n"/>
      <c r="E43" s="72" t="inlineStr">
        <is>
          <t>채취자</t>
        </is>
      </c>
      <c r="F43" s="285" t="n"/>
      <c r="G43" s="286" t="n"/>
      <c r="H43" s="287" t="n"/>
      <c r="I43" s="72" t="inlineStr">
        <is>
          <t>채취자</t>
        </is>
      </c>
      <c r="J43" s="285" t="n"/>
      <c r="K43" s="286" t="n"/>
      <c r="L43" s="287" t="n"/>
      <c r="M43" s="72" t="inlineStr">
        <is>
          <t>채취자</t>
        </is>
      </c>
      <c r="N43" s="285" t="n"/>
      <c r="O43" s="286" t="n"/>
      <c r="P43" s="287" t="n"/>
      <c r="Q43" s="72" t="inlineStr">
        <is>
          <t>채취자</t>
        </is>
      </c>
      <c r="R43" s="285" t="n"/>
      <c r="S43" s="286" t="n"/>
      <c r="T43" s="287" t="n"/>
    </row>
    <row r="44" ht="33" customFormat="1" customHeight="1" s="73" thickTop="1">
      <c r="A44" s="268" t="inlineStr">
        <is>
          <t>보존식 기록표 (중식)</t>
        </is>
      </c>
      <c r="B44" s="269" t="n"/>
      <c r="C44" s="269" t="n"/>
      <c r="D44" s="270" t="n"/>
      <c r="E44" s="268" t="inlineStr">
        <is>
          <t>보존식 기록표 (중식)</t>
        </is>
      </c>
      <c r="F44" s="269" t="n"/>
      <c r="G44" s="269" t="n"/>
      <c r="H44" s="270" t="n"/>
      <c r="I44" s="268" t="inlineStr">
        <is>
          <t>보존식 기록표 (중식)</t>
        </is>
      </c>
      <c r="J44" s="269" t="n"/>
      <c r="K44" s="269" t="n"/>
      <c r="L44" s="270" t="n"/>
      <c r="M44" s="268" t="inlineStr">
        <is>
          <t>보존식 기록표 (중식)</t>
        </is>
      </c>
      <c r="N44" s="269" t="n"/>
      <c r="O44" s="269" t="n"/>
      <c r="P44" s="270" t="n"/>
      <c r="Q44" s="268" t="inlineStr">
        <is>
          <t>보존식 기록표 (중식)</t>
        </is>
      </c>
      <c r="R44" s="269" t="n"/>
      <c r="S44" s="269" t="n"/>
      <c r="T44" s="270" t="n"/>
    </row>
    <row r="45" ht="33" customFormat="1" customHeight="1" s="73">
      <c r="A45" s="169" t="inlineStr">
        <is>
          <t>식단명
월
코너2</t>
        </is>
      </c>
      <c r="B45" s="280">
        <f>'26-4월4주차'!F23</f>
        <v/>
      </c>
      <c r="C45" s="272" t="n"/>
      <c r="D45" s="273" t="n"/>
      <c r="E45" s="174" t="inlineStr">
        <is>
          <t>식단명
화
코너2</t>
        </is>
      </c>
      <c r="F45" s="280">
        <f>'26-4월4주차'!G23</f>
        <v/>
      </c>
      <c r="G45" s="272" t="n"/>
      <c r="H45" s="273" t="n"/>
      <c r="I45" s="179" t="inlineStr">
        <is>
          <t>식단명
수
코너2</t>
        </is>
      </c>
      <c r="J45" s="280">
        <f>'26-4월4주차'!H23</f>
        <v/>
      </c>
      <c r="K45" s="272" t="n"/>
      <c r="L45" s="273" t="n"/>
      <c r="M45" s="205" t="inlineStr">
        <is>
          <t>식단명
목
코너2</t>
        </is>
      </c>
      <c r="N45" s="280">
        <f>'26-4월4주차'!I23</f>
        <v/>
      </c>
      <c r="O45" s="272" t="n"/>
      <c r="P45" s="273" t="n"/>
      <c r="Q45" s="207" t="inlineStr">
        <is>
          <t>식단명
금
코너2</t>
        </is>
      </c>
      <c r="R45" s="280" t="inlineStr">
        <is>
          <t>닭장각스테이크</t>
        </is>
      </c>
      <c r="S45" s="272" t="n"/>
      <c r="T45" s="273" t="n"/>
    </row>
    <row r="46" ht="33" customFormat="1" customHeight="1" s="73">
      <c r="A46" s="278" t="n"/>
      <c r="B46" s="280">
        <f>'26-4월4주차'!F24</f>
        <v/>
      </c>
      <c r="C46" s="272" t="n"/>
      <c r="D46" s="273" t="n"/>
      <c r="E46" s="278" t="n"/>
      <c r="F46" s="280">
        <f>'26-4월4주차'!G24</f>
        <v/>
      </c>
      <c r="G46" s="272" t="n"/>
      <c r="H46" s="273" t="n"/>
      <c r="I46" s="278" t="n"/>
      <c r="J46" s="280">
        <f>'26-4월4주차'!H24</f>
        <v/>
      </c>
      <c r="K46" s="272" t="n"/>
      <c r="L46" s="273" t="n"/>
      <c r="M46" s="278" t="n"/>
      <c r="N46" s="280">
        <f>'26-4월4주차'!I24</f>
        <v/>
      </c>
      <c r="O46" s="272" t="n"/>
      <c r="P46" s="273" t="n"/>
      <c r="Q46" s="278" t="n"/>
      <c r="R46" s="280" t="inlineStr">
        <is>
          <t>단호박스프</t>
        </is>
      </c>
      <c r="S46" s="272" t="n"/>
      <c r="T46" s="273" t="n"/>
    </row>
    <row r="47" ht="33" customFormat="1" customHeight="1" s="73">
      <c r="A47" s="278" t="n"/>
      <c r="B47" s="280">
        <f>'26-4월4주차'!F25</f>
        <v/>
      </c>
      <c r="C47" s="272" t="n"/>
      <c r="D47" s="273" t="n"/>
      <c r="E47" s="278" t="n"/>
      <c r="F47" s="280">
        <f>'26-4월4주차'!G25</f>
        <v/>
      </c>
      <c r="G47" s="272" t="n"/>
      <c r="H47" s="273" t="n"/>
      <c r="I47" s="278" t="n"/>
      <c r="J47" s="280">
        <f>'26-4월4주차'!H25</f>
        <v/>
      </c>
      <c r="K47" s="272" t="n"/>
      <c r="L47" s="273" t="n"/>
      <c r="M47" s="278" t="n"/>
      <c r="N47" s="280">
        <f>'26-4월4주차'!I25</f>
        <v/>
      </c>
      <c r="O47" s="272" t="n"/>
      <c r="P47" s="273" t="n"/>
      <c r="Q47" s="278" t="n"/>
      <c r="R47" s="280" t="inlineStr">
        <is>
          <t>풍기필라프</t>
        </is>
      </c>
      <c r="S47" s="272" t="n"/>
      <c r="T47" s="273" t="n"/>
    </row>
    <row r="48" ht="33" customFormat="1" customHeight="1" s="73">
      <c r="A48" s="278" t="n"/>
      <c r="B48" s="280">
        <f>'26-4월4주차'!F26</f>
        <v/>
      </c>
      <c r="C48" s="272" t="n"/>
      <c r="D48" s="273" t="n"/>
      <c r="E48" s="278" t="n"/>
      <c r="F48" s="280">
        <f>'26-4월4주차'!G26</f>
        <v/>
      </c>
      <c r="G48" s="272" t="n"/>
      <c r="H48" s="273" t="n"/>
      <c r="I48" s="278" t="n"/>
      <c r="J48" s="280">
        <f>'26-4월4주차'!H26</f>
        <v/>
      </c>
      <c r="K48" s="272" t="n"/>
      <c r="L48" s="273" t="n"/>
      <c r="M48" s="278" t="n"/>
      <c r="N48" s="280">
        <f>'26-4월4주차'!#REF!</f>
        <v/>
      </c>
      <c r="O48" s="272" t="n"/>
      <c r="P48" s="273" t="n"/>
      <c r="Q48" s="278" t="n"/>
      <c r="R48" s="280" t="inlineStr">
        <is>
          <t>참치펜네샐러드</t>
        </is>
      </c>
      <c r="S48" s="272" t="n"/>
      <c r="T48" s="273" t="n"/>
    </row>
    <row r="49" ht="33" customFormat="1" customHeight="1" s="73">
      <c r="A49" s="278" t="n"/>
      <c r="B49" s="280">
        <f>'26-4월4주차'!F27</f>
        <v/>
      </c>
      <c r="C49" s="272" t="n"/>
      <c r="D49" s="273" t="n"/>
      <c r="E49" s="278" t="n"/>
      <c r="F49" s="280">
        <f>'26-4월4주차'!G27</f>
        <v/>
      </c>
      <c r="G49" s="272" t="n"/>
      <c r="H49" s="273" t="n"/>
      <c r="I49" s="278" t="n"/>
      <c r="J49" s="280">
        <f>'26-4월4주차'!H27</f>
        <v/>
      </c>
      <c r="K49" s="272" t="n"/>
      <c r="L49" s="273" t="n"/>
      <c r="M49" s="278" t="n"/>
      <c r="N49" s="280">
        <f>'26-4월4주차'!I26</f>
        <v/>
      </c>
      <c r="O49" s="272" t="n"/>
      <c r="P49" s="273" t="n"/>
      <c r="Q49" s="278" t="n"/>
      <c r="R49" s="280" t="inlineStr">
        <is>
          <t>수제모듬피클</t>
        </is>
      </c>
      <c r="S49" s="272" t="n"/>
      <c r="T49" s="273" t="n"/>
    </row>
    <row r="50" ht="33" customFormat="1" customHeight="1" s="73">
      <c r="A50" s="278" t="n"/>
      <c r="B50" s="280">
        <f>'26-4월4주차'!F28</f>
        <v/>
      </c>
      <c r="C50" s="272" t="n"/>
      <c r="D50" s="273" t="n"/>
      <c r="E50" s="278" t="n"/>
      <c r="F50" s="280">
        <f>'26-4월4주차'!G28</f>
        <v/>
      </c>
      <c r="G50" s="272" t="n"/>
      <c r="H50" s="273" t="n"/>
      <c r="I50" s="278" t="n"/>
      <c r="J50" s="280">
        <f>'26-4월4주차'!H28</f>
        <v/>
      </c>
      <c r="K50" s="272" t="n"/>
      <c r="L50" s="273" t="n"/>
      <c r="M50" s="278" t="n"/>
      <c r="N50" s="280">
        <f>'26-4월4주차'!I28</f>
        <v/>
      </c>
      <c r="O50" s="272" t="n"/>
      <c r="P50" s="273" t="n"/>
      <c r="Q50" s="278" t="n"/>
      <c r="R50" s="280" t="inlineStr">
        <is>
          <t>깍두기</t>
        </is>
      </c>
      <c r="S50" s="272" t="n"/>
      <c r="T50" s="273" t="n"/>
    </row>
    <row r="51" ht="33" customFormat="1" customHeight="1" s="73">
      <c r="A51" s="67" t="inlineStr">
        <is>
          <t>식당</t>
        </is>
      </c>
      <c r="B51" s="280" t="inlineStr">
        <is>
          <t>NH농협타워점</t>
        </is>
      </c>
      <c r="C51" s="272" t="n"/>
      <c r="D51" s="273" t="n"/>
      <c r="E51" s="67" t="inlineStr">
        <is>
          <t>식당</t>
        </is>
      </c>
      <c r="F51" s="280" t="inlineStr">
        <is>
          <t>NH농협타워점</t>
        </is>
      </c>
      <c r="G51" s="272" t="n"/>
      <c r="H51" s="273" t="n"/>
      <c r="I51" s="67" t="inlineStr">
        <is>
          <t>식당</t>
        </is>
      </c>
      <c r="J51" s="280" t="inlineStr">
        <is>
          <t>NH농협타워점</t>
        </is>
      </c>
      <c r="K51" s="272" t="n"/>
      <c r="L51" s="273" t="n"/>
      <c r="M51" s="67" t="inlineStr">
        <is>
          <t>식당</t>
        </is>
      </c>
      <c r="N51" s="280" t="inlineStr">
        <is>
          <t>NH농협타워점</t>
        </is>
      </c>
      <c r="O51" s="272" t="n"/>
      <c r="P51" s="273" t="n"/>
      <c r="Q51" s="67" t="inlineStr">
        <is>
          <t>식당</t>
        </is>
      </c>
      <c r="R51" s="280" t="inlineStr">
        <is>
          <t>NH농협타워점</t>
        </is>
      </c>
      <c r="S51" s="272" t="n"/>
      <c r="T51" s="273" t="n"/>
    </row>
    <row r="52" ht="139.15" customFormat="1" customHeight="1" s="73">
      <c r="A52" s="67" t="inlineStr">
        <is>
          <t>관리리준</t>
        </is>
      </c>
      <c r="B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52" s="272" t="n"/>
      <c r="D52" s="273" t="n"/>
      <c r="E52" s="67" t="inlineStr">
        <is>
          <t>관리리준</t>
        </is>
      </c>
      <c r="F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52" s="272" t="n"/>
      <c r="H52" s="273" t="n"/>
      <c r="I52" s="67" t="inlineStr">
        <is>
          <t>관리리준</t>
        </is>
      </c>
      <c r="J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52" s="272" t="n"/>
      <c r="L52" s="273" t="n"/>
      <c r="M52" s="67" t="inlineStr">
        <is>
          <t>관리리준</t>
        </is>
      </c>
      <c r="N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52" s="272" t="n"/>
      <c r="P52" s="273" t="n"/>
      <c r="Q52" s="67" t="inlineStr">
        <is>
          <t>관리리준</t>
        </is>
      </c>
      <c r="R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52" s="272" t="n"/>
      <c r="T52" s="273" t="n"/>
    </row>
    <row r="53" ht="33" customFormat="1" customHeight="1" s="73">
      <c r="A53" s="67" t="inlineStr">
        <is>
          <t>채취일</t>
        </is>
      </c>
      <c r="B53" s="284">
        <f>B41</f>
        <v/>
      </c>
      <c r="C53" s="272" t="n"/>
      <c r="D53" s="71" t="n">
        <v>0.4722222222222222</v>
      </c>
      <c r="E53" s="67" t="inlineStr">
        <is>
          <t>채취일</t>
        </is>
      </c>
      <c r="F53" s="284">
        <f>F41</f>
        <v/>
      </c>
      <c r="G53" s="272" t="n"/>
      <c r="H53" s="71" t="n">
        <v>0.4722222222222222</v>
      </c>
      <c r="I53" s="67" t="inlineStr">
        <is>
          <t>채취일</t>
        </is>
      </c>
      <c r="J53" s="284">
        <f>J41</f>
        <v/>
      </c>
      <c r="K53" s="272" t="n"/>
      <c r="L53" s="71" t="n">
        <v>0.4722222222222222</v>
      </c>
      <c r="M53" s="67" t="inlineStr">
        <is>
          <t>채취일</t>
        </is>
      </c>
      <c r="N53" s="284">
        <f>N41</f>
        <v/>
      </c>
      <c r="O53" s="272" t="n"/>
      <c r="P53" s="71" t="n">
        <v>0.4722222222222222</v>
      </c>
      <c r="Q53" s="67" t="inlineStr">
        <is>
          <t>채취일</t>
        </is>
      </c>
      <c r="R53" s="284">
        <f>R41</f>
        <v/>
      </c>
      <c r="S53" s="272" t="n"/>
      <c r="T53" s="71" t="n">
        <v>0.4722222222222222</v>
      </c>
    </row>
    <row r="54" ht="33" customFormat="1" customHeight="1" s="73">
      <c r="A54" s="67" t="inlineStr">
        <is>
          <t>폐기일</t>
        </is>
      </c>
      <c r="B54" s="284">
        <f>B53+6</f>
        <v/>
      </c>
      <c r="C54" s="272" t="n"/>
      <c r="D54" s="71" t="n">
        <v>0.4722222222222222</v>
      </c>
      <c r="E54" s="67" t="inlineStr">
        <is>
          <t>폐기일</t>
        </is>
      </c>
      <c r="F54" s="284">
        <f>F53+6</f>
        <v/>
      </c>
      <c r="G54" s="272" t="n"/>
      <c r="H54" s="71" t="n">
        <v>0.4722222222222222</v>
      </c>
      <c r="I54" s="67" t="inlineStr">
        <is>
          <t>폐기일</t>
        </is>
      </c>
      <c r="J54" s="284">
        <f>J53+6</f>
        <v/>
      </c>
      <c r="K54" s="272" t="n"/>
      <c r="L54" s="71" t="n">
        <v>0.4722222222222222</v>
      </c>
      <c r="M54" s="67" t="inlineStr">
        <is>
          <t>폐기일</t>
        </is>
      </c>
      <c r="N54" s="284">
        <f>N53+6</f>
        <v/>
      </c>
      <c r="O54" s="272" t="n"/>
      <c r="P54" s="71" t="n">
        <v>0.4722222222222222</v>
      </c>
      <c r="Q54" s="67" t="inlineStr">
        <is>
          <t>폐기일</t>
        </is>
      </c>
      <c r="R54" s="284">
        <f>R53+6</f>
        <v/>
      </c>
      <c r="S54" s="272" t="n"/>
      <c r="T54" s="71" t="n">
        <v>0.4722222222222222</v>
      </c>
    </row>
    <row r="55" ht="33" customFormat="1" customHeight="1" s="73" thickBot="1">
      <c r="A55" s="72" t="inlineStr">
        <is>
          <t>채취자</t>
        </is>
      </c>
      <c r="B55" s="285" t="n"/>
      <c r="C55" s="286" t="n"/>
      <c r="D55" s="287" t="n"/>
      <c r="E55" s="72" t="inlineStr">
        <is>
          <t>채취자</t>
        </is>
      </c>
      <c r="F55" s="285" t="n"/>
      <c r="G55" s="286" t="n"/>
      <c r="H55" s="287" t="n"/>
      <c r="I55" s="72" t="inlineStr">
        <is>
          <t>채취자</t>
        </is>
      </c>
      <c r="J55" s="285" t="n"/>
      <c r="K55" s="286" t="n"/>
      <c r="L55" s="287" t="n"/>
      <c r="M55" s="72" t="inlineStr">
        <is>
          <t>채취자</t>
        </is>
      </c>
      <c r="N55" s="285" t="n"/>
      <c r="O55" s="286" t="n"/>
      <c r="P55" s="287" t="n"/>
      <c r="Q55" s="72" t="inlineStr">
        <is>
          <t>채취자</t>
        </is>
      </c>
      <c r="R55" s="285" t="n"/>
      <c r="S55" s="286" t="n"/>
      <c r="T55" s="287" t="n"/>
    </row>
    <row r="56" ht="33" customFormat="1" customHeight="1" s="73" thickTop="1">
      <c r="A56" s="268" t="inlineStr">
        <is>
          <t>보존식 기록표 (중식)</t>
        </is>
      </c>
      <c r="B56" s="269" t="n"/>
      <c r="C56" s="269" t="n"/>
      <c r="D56" s="270" t="n"/>
      <c r="E56" s="268" t="inlineStr">
        <is>
          <t>보존식 기록표 (중식)</t>
        </is>
      </c>
      <c r="F56" s="269" t="n"/>
      <c r="G56" s="269" t="n"/>
      <c r="H56" s="270" t="n"/>
      <c r="I56" s="268" t="inlineStr">
        <is>
          <t>보존식 기록표 (중식)</t>
        </is>
      </c>
      <c r="J56" s="269" t="n"/>
      <c r="K56" s="269" t="n"/>
      <c r="L56" s="270" t="n"/>
      <c r="M56" s="268" t="inlineStr">
        <is>
          <t>보존식 기록표 (중식)</t>
        </is>
      </c>
      <c r="N56" s="269" t="n"/>
      <c r="O56" s="269" t="n"/>
      <c r="P56" s="270" t="n"/>
      <c r="Q56" s="268" t="inlineStr">
        <is>
          <t>보존식 기록표 (중식)</t>
        </is>
      </c>
      <c r="R56" s="269" t="n"/>
      <c r="S56" s="269" t="n"/>
      <c r="T56" s="270" t="n"/>
    </row>
    <row r="57" ht="33" customFormat="1" customHeight="1" s="73">
      <c r="A57" s="169" t="inlineStr">
        <is>
          <t>식단명
월
코너3</t>
        </is>
      </c>
      <c r="B57" s="271">
        <f>'26-4월4주차'!F29</f>
        <v/>
      </c>
      <c r="C57" s="272" t="n"/>
      <c r="D57" s="273" t="n"/>
      <c r="E57" s="174" t="inlineStr">
        <is>
          <t>식단명
화
코너3</t>
        </is>
      </c>
      <c r="F57" s="271">
        <f>'26-4월4주차'!G29</f>
        <v/>
      </c>
      <c r="G57" s="272" t="n"/>
      <c r="H57" s="273" t="n"/>
      <c r="I57" s="179" t="inlineStr">
        <is>
          <t>식단명
수
코너3</t>
        </is>
      </c>
      <c r="J57" s="271">
        <f>'26-4월4주차'!H29</f>
        <v/>
      </c>
      <c r="K57" s="272" t="n"/>
      <c r="L57" s="273" t="n"/>
      <c r="M57" s="181" t="inlineStr">
        <is>
          <t>식단명
목
코너3</t>
        </is>
      </c>
      <c r="N57" s="271">
        <f>'26-4월4주차'!I29</f>
        <v/>
      </c>
      <c r="O57" s="272" t="n"/>
      <c r="P57" s="273" t="n"/>
      <c r="Q57" s="184" t="inlineStr">
        <is>
          <t>식단명
금
코너3</t>
        </is>
      </c>
      <c r="R57" s="271" t="n"/>
      <c r="S57" s="272" t="n"/>
      <c r="T57" s="273" t="n"/>
    </row>
    <row r="58" ht="33" customFormat="1" customHeight="1" s="73">
      <c r="A58" s="278" t="n"/>
      <c r="B58" s="271">
        <f>'26-4월4주차'!F30</f>
        <v/>
      </c>
      <c r="C58" s="272" t="n"/>
      <c r="D58" s="273" t="n"/>
      <c r="E58" s="278" t="n"/>
      <c r="F58" s="271">
        <f>'26-4월4주차'!G30</f>
        <v/>
      </c>
      <c r="G58" s="272" t="n"/>
      <c r="H58" s="273" t="n"/>
      <c r="I58" s="278" t="n"/>
      <c r="J58" s="271">
        <f>'26-4월4주차'!H30</f>
        <v/>
      </c>
      <c r="K58" s="272" t="n"/>
      <c r="L58" s="273" t="n"/>
      <c r="M58" s="279" t="n"/>
      <c r="N58" s="271">
        <f>'26-4월4주차'!I30</f>
        <v/>
      </c>
      <c r="O58" s="272" t="n"/>
      <c r="P58" s="273" t="n"/>
      <c r="Q58" s="234" t="n"/>
      <c r="R58" s="271" t="n"/>
      <c r="S58" s="272" t="n"/>
      <c r="T58" s="273" t="n"/>
    </row>
    <row r="59" ht="33" customFormat="1" customHeight="1" s="73">
      <c r="A59" s="278" t="n"/>
      <c r="B59" s="271">
        <f>'26-4월4주차'!F31</f>
        <v/>
      </c>
      <c r="C59" s="272" t="n"/>
      <c r="D59" s="273" t="n"/>
      <c r="E59" s="278" t="n"/>
      <c r="F59" s="271">
        <f>'26-4월4주차'!G31</f>
        <v/>
      </c>
      <c r="G59" s="272" t="n"/>
      <c r="H59" s="273" t="n"/>
      <c r="I59" s="278" t="n"/>
      <c r="J59" s="271">
        <f>'26-4월4주차'!H31</f>
        <v/>
      </c>
      <c r="K59" s="272" t="n"/>
      <c r="L59" s="273" t="n"/>
      <c r="M59" s="279" t="n"/>
      <c r="N59" s="271">
        <f>'26-4월4주차'!I31</f>
        <v/>
      </c>
      <c r="O59" s="272" t="n"/>
      <c r="P59" s="273" t="n"/>
      <c r="Q59" s="234" t="n"/>
      <c r="R59" s="271" t="n"/>
      <c r="S59" s="272" t="n"/>
      <c r="T59" s="273" t="n"/>
    </row>
    <row r="60" ht="33" customFormat="1" customHeight="1" s="73">
      <c r="A60" s="278" t="n"/>
      <c r="B60" s="271">
        <f>'26-4월4주차'!F32</f>
        <v/>
      </c>
      <c r="C60" s="272" t="n"/>
      <c r="D60" s="273" t="n"/>
      <c r="E60" s="278" t="n"/>
      <c r="F60" s="271">
        <f>'26-4월4주차'!G32</f>
        <v/>
      </c>
      <c r="G60" s="272" t="n"/>
      <c r="H60" s="273" t="n"/>
      <c r="I60" s="278" t="n"/>
      <c r="J60" s="271">
        <f>'26-4월4주차'!H32</f>
        <v/>
      </c>
      <c r="K60" s="272" t="n"/>
      <c r="L60" s="273" t="n"/>
      <c r="M60" s="279" t="n"/>
      <c r="N60" s="271">
        <f>'26-4월4주차'!I32</f>
        <v/>
      </c>
      <c r="O60" s="272" t="n"/>
      <c r="P60" s="273" t="n"/>
      <c r="Q60" s="234" t="n"/>
      <c r="R60" s="271" t="n"/>
      <c r="S60" s="272" t="n"/>
      <c r="T60" s="273" t="n"/>
    </row>
    <row r="61" ht="33" customFormat="1" customHeight="1" s="73">
      <c r="A61" s="278" t="n"/>
      <c r="B61" s="271">
        <f>'26-4월4주차'!F33</f>
        <v/>
      </c>
      <c r="C61" s="272" t="n"/>
      <c r="D61" s="273" t="n"/>
      <c r="E61" s="278" t="n"/>
      <c r="F61" s="271">
        <f>'26-4월4주차'!G33</f>
        <v/>
      </c>
      <c r="G61" s="272" t="n"/>
      <c r="H61" s="273" t="n"/>
      <c r="I61" s="278" t="n"/>
      <c r="J61" s="271">
        <f>'26-4월4주차'!H33</f>
        <v/>
      </c>
      <c r="K61" s="272" t="n"/>
      <c r="L61" s="273" t="n"/>
      <c r="M61" s="279" t="n"/>
      <c r="N61" s="271">
        <f>'26-4월4주차'!I33</f>
        <v/>
      </c>
      <c r="O61" s="272" t="n"/>
      <c r="P61" s="273" t="n"/>
      <c r="Q61" s="234" t="n"/>
      <c r="R61" s="271" t="n"/>
      <c r="S61" s="272" t="n"/>
      <c r="T61" s="273" t="n"/>
    </row>
    <row r="62" ht="33" customFormat="1" customHeight="1" s="73">
      <c r="A62" s="278" t="n"/>
      <c r="B62" s="271">
        <f>'26-4월4주차'!F34</f>
        <v/>
      </c>
      <c r="C62" s="272" t="n"/>
      <c r="D62" s="273" t="n"/>
      <c r="E62" s="278" t="n"/>
      <c r="F62" s="271">
        <f>'26-4월4주차'!G34</f>
        <v/>
      </c>
      <c r="G62" s="272" t="n"/>
      <c r="H62" s="273" t="n"/>
      <c r="I62" s="278" t="n"/>
      <c r="J62" s="271">
        <f>'26-4월4주차'!H34</f>
        <v/>
      </c>
      <c r="K62" s="272" t="n"/>
      <c r="L62" s="273" t="n"/>
      <c r="M62" s="279" t="n"/>
      <c r="N62" s="271">
        <f>'26-4월4주차'!I34</f>
        <v/>
      </c>
      <c r="O62" s="272" t="n"/>
      <c r="P62" s="273" t="n"/>
      <c r="Q62" s="234" t="n"/>
      <c r="R62" s="271" t="n"/>
      <c r="S62" s="272" t="n"/>
      <c r="T62" s="273" t="n"/>
    </row>
    <row r="63" ht="33" customFormat="1" customHeight="1" s="73">
      <c r="A63" s="278" t="n"/>
      <c r="B63" s="271">
        <f>'26-4월4주차'!F35</f>
        <v/>
      </c>
      <c r="C63" s="272" t="n"/>
      <c r="D63" s="273" t="n"/>
      <c r="E63" s="278" t="n"/>
      <c r="F63" s="271">
        <f>'26-4월4주차'!G35</f>
        <v/>
      </c>
      <c r="G63" s="272" t="n"/>
      <c r="H63" s="273" t="n"/>
      <c r="I63" s="278" t="n"/>
      <c r="J63" s="271">
        <f>'26-4월4주차'!H35</f>
        <v/>
      </c>
      <c r="K63" s="272" t="n"/>
      <c r="L63" s="273" t="n"/>
      <c r="M63" s="279" t="n"/>
      <c r="N63" s="271">
        <f>'26-4월4주차'!I35</f>
        <v/>
      </c>
      <c r="O63" s="272" t="n"/>
      <c r="P63" s="273" t="n"/>
      <c r="Q63" s="234" t="n"/>
      <c r="R63" s="271" t="n"/>
      <c r="S63" s="272" t="n"/>
      <c r="T63" s="273" t="n"/>
    </row>
    <row r="64" ht="33" customFormat="1" customHeight="1" s="73">
      <c r="A64" s="67" t="inlineStr">
        <is>
          <t>식당</t>
        </is>
      </c>
      <c r="B64" s="280" t="inlineStr">
        <is>
          <t>NH농협타워점</t>
        </is>
      </c>
      <c r="C64" s="272" t="n"/>
      <c r="D64" s="273" t="n"/>
      <c r="E64" s="67" t="inlineStr">
        <is>
          <t>식당</t>
        </is>
      </c>
      <c r="F64" s="280" t="inlineStr">
        <is>
          <t>NH농협타워점</t>
        </is>
      </c>
      <c r="G64" s="272" t="n"/>
      <c r="H64" s="273" t="n"/>
      <c r="I64" s="67" t="inlineStr">
        <is>
          <t>식당</t>
        </is>
      </c>
      <c r="J64" s="280" t="inlineStr">
        <is>
          <t>NH농협타워점</t>
        </is>
      </c>
      <c r="K64" s="272" t="n"/>
      <c r="L64" s="273" t="n"/>
      <c r="M64" s="67" t="inlineStr">
        <is>
          <t>식당</t>
        </is>
      </c>
      <c r="N64" s="280" t="inlineStr">
        <is>
          <t>NH농협타워점</t>
        </is>
      </c>
      <c r="O64" s="272" t="n"/>
      <c r="P64" s="273" t="n"/>
      <c r="Q64" s="67" t="inlineStr">
        <is>
          <t>식당</t>
        </is>
      </c>
      <c r="R64" s="280" t="inlineStr">
        <is>
          <t>NH농협타워점</t>
        </is>
      </c>
      <c r="S64" s="272" t="n"/>
      <c r="T64" s="273" t="n"/>
    </row>
    <row r="65" ht="139.15" customFormat="1" customHeight="1" s="73">
      <c r="A65" s="67" t="inlineStr">
        <is>
          <t>관리리준</t>
        </is>
      </c>
      <c r="B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65" s="272" t="n"/>
      <c r="D65" s="273" t="n"/>
      <c r="E65" s="67" t="inlineStr">
        <is>
          <t>관리리준</t>
        </is>
      </c>
      <c r="F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65" s="272" t="n"/>
      <c r="H65" s="273" t="n"/>
      <c r="I65" s="67" t="inlineStr">
        <is>
          <t>관리리준</t>
        </is>
      </c>
      <c r="J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65" s="272" t="n"/>
      <c r="L65" s="273" t="n"/>
      <c r="M65" s="67" t="inlineStr">
        <is>
          <t>관리리준</t>
        </is>
      </c>
      <c r="N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65" s="272" t="n"/>
      <c r="P65" s="273" t="n"/>
      <c r="Q65" s="67" t="inlineStr">
        <is>
          <t>관리리준</t>
        </is>
      </c>
      <c r="R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65" s="272" t="n"/>
      <c r="T65" s="273" t="n"/>
    </row>
    <row r="66" ht="33" customFormat="1" customHeight="1" s="73">
      <c r="A66" s="67" t="inlineStr">
        <is>
          <t>채취일</t>
        </is>
      </c>
      <c r="B66" s="284">
        <f>B29</f>
        <v/>
      </c>
      <c r="C66" s="272" t="n"/>
      <c r="D66" s="71" t="n">
        <v>0.4722222222222222</v>
      </c>
      <c r="E66" s="67" t="inlineStr">
        <is>
          <t>채취일</t>
        </is>
      </c>
      <c r="F66" s="284">
        <f>F29</f>
        <v/>
      </c>
      <c r="G66" s="272" t="n"/>
      <c r="H66" s="71" t="n">
        <v>0.4722222222222222</v>
      </c>
      <c r="I66" s="67" t="inlineStr">
        <is>
          <t>채취일</t>
        </is>
      </c>
      <c r="J66" s="284">
        <f>J29</f>
        <v/>
      </c>
      <c r="K66" s="272" t="n"/>
      <c r="L66" s="71" t="n">
        <v>0.4722222222222222</v>
      </c>
      <c r="M66" s="67" t="inlineStr">
        <is>
          <t>채취일</t>
        </is>
      </c>
      <c r="N66" s="284">
        <f>N29</f>
        <v/>
      </c>
      <c r="O66" s="272" t="n"/>
      <c r="P66" s="71" t="n">
        <v>0.4722222222222222</v>
      </c>
      <c r="Q66" s="67" t="inlineStr">
        <is>
          <t>채취일</t>
        </is>
      </c>
      <c r="R66" s="284">
        <f>R29</f>
        <v/>
      </c>
      <c r="S66" s="272" t="n"/>
      <c r="T66" s="71" t="n">
        <v>0.4722222222222222</v>
      </c>
    </row>
    <row r="67" ht="33" customFormat="1" customHeight="1" s="73">
      <c r="A67" s="67" t="inlineStr">
        <is>
          <t>폐기일</t>
        </is>
      </c>
      <c r="B67" s="284">
        <f>B30</f>
        <v/>
      </c>
      <c r="C67" s="272" t="n"/>
      <c r="D67" s="71" t="n">
        <v>0.4722222222222222</v>
      </c>
      <c r="E67" s="67" t="inlineStr">
        <is>
          <t>폐기일</t>
        </is>
      </c>
      <c r="F67" s="284">
        <f>F30</f>
        <v/>
      </c>
      <c r="G67" s="272" t="n"/>
      <c r="H67" s="71" t="n">
        <v>0.4722222222222222</v>
      </c>
      <c r="I67" s="67" t="inlineStr">
        <is>
          <t>폐기일</t>
        </is>
      </c>
      <c r="J67" s="284">
        <f>J30</f>
        <v/>
      </c>
      <c r="K67" s="272" t="n"/>
      <c r="L67" s="71" t="n">
        <v>0.4722222222222222</v>
      </c>
      <c r="M67" s="67" t="inlineStr">
        <is>
          <t>폐기일</t>
        </is>
      </c>
      <c r="N67" s="284">
        <f>N30</f>
        <v/>
      </c>
      <c r="O67" s="272" t="n"/>
      <c r="P67" s="71" t="n">
        <v>0.4722222222222222</v>
      </c>
      <c r="Q67" s="67" t="inlineStr">
        <is>
          <t>폐기일</t>
        </is>
      </c>
      <c r="R67" s="284">
        <f>R30</f>
        <v/>
      </c>
      <c r="S67" s="272" t="n"/>
      <c r="T67" s="71" t="n">
        <v>0.4722222222222222</v>
      </c>
    </row>
    <row r="68" ht="33" customFormat="1" customHeight="1" s="73" thickBot="1">
      <c r="A68" s="72" t="inlineStr">
        <is>
          <t>채취자</t>
        </is>
      </c>
      <c r="B68" s="285" t="n"/>
      <c r="C68" s="286" t="n"/>
      <c r="D68" s="287" t="n"/>
      <c r="E68" s="72" t="inlineStr">
        <is>
          <t>채취자</t>
        </is>
      </c>
      <c r="F68" s="285" t="n"/>
      <c r="G68" s="286" t="n"/>
      <c r="H68" s="287" t="n"/>
      <c r="I68" s="72" t="inlineStr">
        <is>
          <t>채취자</t>
        </is>
      </c>
      <c r="J68" s="285" t="n"/>
      <c r="K68" s="286" t="n"/>
      <c r="L68" s="287" t="n"/>
      <c r="M68" s="72" t="inlineStr">
        <is>
          <t>채취자</t>
        </is>
      </c>
      <c r="N68" s="285" t="n"/>
      <c r="O68" s="286" t="n"/>
      <c r="P68" s="287" t="n"/>
      <c r="Q68" s="72" t="inlineStr">
        <is>
          <t>채취자</t>
        </is>
      </c>
      <c r="R68" s="285" t="n"/>
      <c r="S68" s="286" t="n"/>
      <c r="T68" s="287" t="n"/>
    </row>
    <row r="69" ht="33" customFormat="1" customHeight="1" s="73" thickTop="1">
      <c r="A69" s="268" t="inlineStr">
        <is>
          <t>보존식 기록표 (테이크아웃)</t>
        </is>
      </c>
      <c r="B69" s="269" t="n"/>
      <c r="C69" s="269" t="n"/>
      <c r="D69" s="270" t="n"/>
      <c r="E69" s="268" t="inlineStr">
        <is>
          <t>보존식 기록표 (테이크아웃)</t>
        </is>
      </c>
      <c r="F69" s="269" t="n"/>
      <c r="G69" s="269" t="n"/>
      <c r="H69" s="270" t="n"/>
      <c r="I69" s="268" t="inlineStr">
        <is>
          <t>보존식 기록표 (테이크아웃)</t>
        </is>
      </c>
      <c r="J69" s="269" t="n"/>
      <c r="K69" s="269" t="n"/>
      <c r="L69" s="270" t="n"/>
      <c r="M69" s="268" t="inlineStr">
        <is>
          <t>보존식 기록표 (테이크아웃)</t>
        </is>
      </c>
      <c r="N69" s="269" t="n"/>
      <c r="O69" s="269" t="n"/>
      <c r="P69" s="270" t="n"/>
      <c r="Q69" s="268" t="inlineStr">
        <is>
          <t>보존식 기록표 (테이크아웃)</t>
        </is>
      </c>
      <c r="R69" s="269" t="n"/>
      <c r="S69" s="269" t="n"/>
      <c r="T69" s="270" t="n"/>
    </row>
    <row r="70" ht="76.15000000000001" customFormat="1" customHeight="1" s="73">
      <c r="A70" s="169" t="inlineStr">
        <is>
          <t>식단명
월</t>
        </is>
      </c>
      <c r="B70" s="280">
        <f>'26-4월4주차'!F36</f>
        <v/>
      </c>
      <c r="C70" s="272" t="n"/>
      <c r="D70" s="273" t="n"/>
      <c r="E70" s="174" t="inlineStr">
        <is>
          <t>식단명
화</t>
        </is>
      </c>
      <c r="F70" s="280">
        <f>'26-4월4주차'!G36</f>
        <v/>
      </c>
      <c r="G70" s="272" t="n"/>
      <c r="H70" s="273" t="n"/>
      <c r="I70" s="179" t="inlineStr">
        <is>
          <t>식단명
수</t>
        </is>
      </c>
      <c r="J70" s="280">
        <f>'26-4월4주차'!H36</f>
        <v/>
      </c>
      <c r="K70" s="272" t="n"/>
      <c r="L70" s="273" t="n"/>
      <c r="M70" s="205" t="inlineStr">
        <is>
          <t>식단명
목</t>
        </is>
      </c>
      <c r="N70" s="280">
        <f>'26-4월4주차'!I36</f>
        <v/>
      </c>
      <c r="O70" s="272" t="n"/>
      <c r="P70" s="273" t="n"/>
      <c r="Q70" s="207" t="inlineStr">
        <is>
          <t>식단명
금</t>
        </is>
      </c>
      <c r="R70" s="280">
        <f>'26-4월4주차'!J36</f>
        <v/>
      </c>
      <c r="S70" s="272" t="n"/>
      <c r="T70" s="273" t="n"/>
    </row>
    <row r="71" ht="33" customFormat="1" customHeight="1" s="73">
      <c r="A71" s="67" t="inlineStr">
        <is>
          <t>식당</t>
        </is>
      </c>
      <c r="B71" s="280" t="inlineStr">
        <is>
          <t>NH농협타워점</t>
        </is>
      </c>
      <c r="C71" s="272" t="n"/>
      <c r="D71" s="273" t="n"/>
      <c r="E71" s="67" t="inlineStr">
        <is>
          <t>식당</t>
        </is>
      </c>
      <c r="F71" s="280" t="inlineStr">
        <is>
          <t>NH농협타워점</t>
        </is>
      </c>
      <c r="G71" s="272" t="n"/>
      <c r="H71" s="273" t="n"/>
      <c r="I71" s="67" t="inlineStr">
        <is>
          <t>식당</t>
        </is>
      </c>
      <c r="J71" s="280" t="inlineStr">
        <is>
          <t>NH농협타워점</t>
        </is>
      </c>
      <c r="K71" s="272" t="n"/>
      <c r="L71" s="273" t="n"/>
      <c r="M71" s="67" t="inlineStr">
        <is>
          <t>식당</t>
        </is>
      </c>
      <c r="N71" s="280" t="inlineStr">
        <is>
          <t>NH농협타워점</t>
        </is>
      </c>
      <c r="O71" s="272" t="n"/>
      <c r="P71" s="273" t="n"/>
      <c r="Q71" s="67" t="inlineStr">
        <is>
          <t>식당</t>
        </is>
      </c>
      <c r="R71" s="280" t="inlineStr">
        <is>
          <t>NH농협타워점</t>
        </is>
      </c>
      <c r="S71" s="272" t="n"/>
      <c r="T71" s="273" t="n"/>
    </row>
    <row r="72" ht="139.15" customFormat="1" customHeight="1" s="73">
      <c r="A72" s="67" t="inlineStr">
        <is>
          <t>관리리준</t>
        </is>
      </c>
      <c r="B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72" s="272" t="n"/>
      <c r="D72" s="273" t="n"/>
      <c r="E72" s="67" t="inlineStr">
        <is>
          <t>관리리준</t>
        </is>
      </c>
      <c r="F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72" s="272" t="n"/>
      <c r="H72" s="273" t="n"/>
      <c r="I72" s="67" t="inlineStr">
        <is>
          <t>관리리준</t>
        </is>
      </c>
      <c r="J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72" s="272" t="n"/>
      <c r="L72" s="273" t="n"/>
      <c r="M72" s="67" t="inlineStr">
        <is>
          <t>관리리준</t>
        </is>
      </c>
      <c r="N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72" s="272" t="n"/>
      <c r="P72" s="273" t="n"/>
      <c r="Q72" s="67" t="inlineStr">
        <is>
          <t>관리리준</t>
        </is>
      </c>
      <c r="R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72" s="272" t="n"/>
      <c r="T72" s="273" t="n"/>
    </row>
    <row r="73" ht="33" customFormat="1" customHeight="1" s="73">
      <c r="A73" s="67" t="inlineStr">
        <is>
          <t>채취일</t>
        </is>
      </c>
      <c r="B73" s="284">
        <f>B9</f>
        <v/>
      </c>
      <c r="C73" s="272" t="n"/>
      <c r="D73" s="71" t="n">
        <v>0.4722222222222222</v>
      </c>
      <c r="E73" s="67" t="inlineStr">
        <is>
          <t>채취일</t>
        </is>
      </c>
      <c r="F73" s="284">
        <f>F9</f>
        <v/>
      </c>
      <c r="G73" s="272" t="n"/>
      <c r="H73" s="71" t="n">
        <v>0.4722222222222222</v>
      </c>
      <c r="I73" s="67" t="inlineStr">
        <is>
          <t>채취일</t>
        </is>
      </c>
      <c r="J73" s="284">
        <f>J9</f>
        <v/>
      </c>
      <c r="K73" s="272" t="n"/>
      <c r="L73" s="71" t="n">
        <v>0.4722222222222222</v>
      </c>
      <c r="M73" s="67" t="inlineStr">
        <is>
          <t>채취일</t>
        </is>
      </c>
      <c r="N73" s="284">
        <f>N9</f>
        <v/>
      </c>
      <c r="O73" s="272" t="n"/>
      <c r="P73" s="71" t="n">
        <v>0.4722222222222222</v>
      </c>
      <c r="Q73" s="67" t="inlineStr">
        <is>
          <t>채취일</t>
        </is>
      </c>
      <c r="R73" s="284">
        <f>R9</f>
        <v/>
      </c>
      <c r="S73" s="272" t="n"/>
      <c r="T73" s="71" t="n">
        <v>0.4722222222222222</v>
      </c>
    </row>
    <row r="74" ht="33" customFormat="1" customHeight="1" s="73">
      <c r="A74" s="67" t="inlineStr">
        <is>
          <t>폐기일</t>
        </is>
      </c>
      <c r="B74" s="284">
        <f>B30</f>
        <v/>
      </c>
      <c r="C74" s="272" t="n"/>
      <c r="D74" s="71" t="n">
        <v>0.4722222222222222</v>
      </c>
      <c r="E74" s="67" t="inlineStr">
        <is>
          <t>폐기일</t>
        </is>
      </c>
      <c r="F74" s="284">
        <f>F30</f>
        <v/>
      </c>
      <c r="G74" s="272" t="n"/>
      <c r="H74" s="71" t="n">
        <v>0.4722222222222222</v>
      </c>
      <c r="I74" s="67" t="inlineStr">
        <is>
          <t>폐기일</t>
        </is>
      </c>
      <c r="J74" s="284">
        <f>J30</f>
        <v/>
      </c>
      <c r="K74" s="272" t="n"/>
      <c r="L74" s="71" t="n">
        <v>0.4722222222222222</v>
      </c>
      <c r="M74" s="67" t="inlineStr">
        <is>
          <t>폐기일</t>
        </is>
      </c>
      <c r="N74" s="284">
        <f>N30</f>
        <v/>
      </c>
      <c r="O74" s="272" t="n"/>
      <c r="P74" s="71" t="n">
        <v>0.4722222222222222</v>
      </c>
      <c r="Q74" s="67" t="inlineStr">
        <is>
          <t>폐기일</t>
        </is>
      </c>
      <c r="R74" s="284">
        <f>R30</f>
        <v/>
      </c>
      <c r="S74" s="272" t="n"/>
      <c r="T74" s="71" t="n">
        <v>0.4722222222222222</v>
      </c>
    </row>
    <row r="75" ht="33" customFormat="1" customHeight="1" s="73" thickBot="1">
      <c r="A75" s="72" t="inlineStr">
        <is>
          <t>채취자</t>
        </is>
      </c>
      <c r="B75" s="285" t="n"/>
      <c r="C75" s="286" t="n"/>
      <c r="D75" s="287" t="n"/>
      <c r="E75" s="72" t="inlineStr">
        <is>
          <t>채취자</t>
        </is>
      </c>
      <c r="F75" s="285" t="n"/>
      <c r="G75" s="286" t="n"/>
      <c r="H75" s="287" t="n"/>
      <c r="I75" s="72" t="inlineStr">
        <is>
          <t>채취자</t>
        </is>
      </c>
      <c r="J75" s="285" t="n"/>
      <c r="K75" s="286" t="n"/>
      <c r="L75" s="287" t="n"/>
      <c r="M75" s="72" t="inlineStr">
        <is>
          <t>채취자</t>
        </is>
      </c>
      <c r="N75" s="285" t="n"/>
      <c r="O75" s="286" t="n"/>
      <c r="P75" s="287" t="n"/>
      <c r="Q75" s="72" t="inlineStr">
        <is>
          <t>채취자</t>
        </is>
      </c>
      <c r="R75" s="285" t="n"/>
      <c r="S75" s="286" t="n"/>
      <c r="T75" s="287" t="n"/>
    </row>
    <row r="76" ht="33" customFormat="1" customHeight="1" s="73" thickTop="1">
      <c r="A76" s="268" t="inlineStr">
        <is>
          <t>보존식 기록표 (석식)</t>
        </is>
      </c>
      <c r="B76" s="269" t="n"/>
      <c r="C76" s="269" t="n"/>
      <c r="D76" s="270" t="n"/>
      <c r="E76" s="268" t="inlineStr">
        <is>
          <t>보존식 기록표 (석식)</t>
        </is>
      </c>
      <c r="F76" s="269" t="n"/>
      <c r="G76" s="269" t="n"/>
      <c r="H76" s="270" t="n"/>
      <c r="I76" s="268" t="inlineStr">
        <is>
          <t>보존식 기록표 (석식)</t>
        </is>
      </c>
      <c r="J76" s="269" t="n"/>
      <c r="K76" s="269" t="n"/>
      <c r="L76" s="270" t="n"/>
      <c r="M76" s="268" t="inlineStr">
        <is>
          <t>보존식 기록표 (석식)</t>
        </is>
      </c>
      <c r="N76" s="269" t="n"/>
      <c r="O76" s="269" t="n"/>
      <c r="P76" s="270" t="n"/>
      <c r="Q76" s="268" t="inlineStr">
        <is>
          <t>보존식 기록표 (석식)</t>
        </is>
      </c>
      <c r="R76" s="269" t="n"/>
      <c r="S76" s="269" t="n"/>
      <c r="T76" s="270" t="n"/>
    </row>
    <row r="77" ht="33" customFormat="1" customHeight="1" s="73">
      <c r="A77" s="169" t="inlineStr">
        <is>
          <t>식단명
월</t>
        </is>
      </c>
      <c r="B77" s="271">
        <f>'26-4월4주차'!F37</f>
        <v/>
      </c>
      <c r="C77" s="272" t="n"/>
      <c r="D77" s="273" t="n"/>
      <c r="E77" s="174" t="inlineStr">
        <is>
          <t>식단명
화</t>
        </is>
      </c>
      <c r="F77" s="271">
        <f>'26-4월4주차'!G37</f>
        <v/>
      </c>
      <c r="G77" s="272" t="n"/>
      <c r="H77" s="273" t="n"/>
      <c r="I77" s="179" t="inlineStr">
        <is>
          <t>식단명
수</t>
        </is>
      </c>
      <c r="J77" s="271">
        <f>'26-4월4주차'!H37</f>
        <v/>
      </c>
      <c r="K77" s="272" t="n"/>
      <c r="L77" s="273" t="n"/>
      <c r="M77" s="181" t="inlineStr">
        <is>
          <t>식단명
목</t>
        </is>
      </c>
      <c r="N77" s="271">
        <f>'26-4월4주차'!I37</f>
        <v/>
      </c>
      <c r="O77" s="272" t="n"/>
      <c r="P77" s="273" t="n"/>
      <c r="Q77" s="184" t="inlineStr">
        <is>
          <t>식단명
금</t>
        </is>
      </c>
      <c r="R77" s="271">
        <f>'26-4월4주차'!J37</f>
        <v/>
      </c>
      <c r="S77" s="272" t="n"/>
      <c r="T77" s="273" t="n"/>
    </row>
    <row r="78" ht="33" customFormat="1" customHeight="1" s="73">
      <c r="A78" s="278" t="n"/>
      <c r="B78" s="271">
        <f>'26-4월4주차'!F38</f>
        <v/>
      </c>
      <c r="C78" s="272" t="n"/>
      <c r="D78" s="273" t="n"/>
      <c r="E78" s="278" t="n"/>
      <c r="F78" s="271">
        <f>'26-4월4주차'!G38</f>
        <v/>
      </c>
      <c r="G78" s="272" t="n"/>
      <c r="H78" s="273" t="n"/>
      <c r="I78" s="278" t="n"/>
      <c r="J78" s="271">
        <f>'26-4월4주차'!H38</f>
        <v/>
      </c>
      <c r="K78" s="272" t="n"/>
      <c r="L78" s="273" t="n"/>
      <c r="M78" s="279" t="n"/>
      <c r="N78" s="271">
        <f>'26-4월4주차'!I38</f>
        <v/>
      </c>
      <c r="O78" s="272" t="n"/>
      <c r="P78" s="273" t="n"/>
      <c r="Q78" s="234" t="n"/>
      <c r="R78" s="271">
        <f>'26-4월4주차'!J38</f>
        <v/>
      </c>
      <c r="S78" s="272" t="n"/>
      <c r="T78" s="273" t="n"/>
    </row>
    <row r="79" ht="33" customFormat="1" customHeight="1" s="73">
      <c r="A79" s="278" t="n"/>
      <c r="B79" s="271">
        <f>'26-4월4주차'!F39</f>
        <v/>
      </c>
      <c r="C79" s="272" t="n"/>
      <c r="D79" s="273" t="n"/>
      <c r="E79" s="278" t="n"/>
      <c r="F79" s="271">
        <f>'26-4월4주차'!G39</f>
        <v/>
      </c>
      <c r="G79" s="272" t="n"/>
      <c r="H79" s="273" t="n"/>
      <c r="I79" s="278" t="n"/>
      <c r="J79" s="271">
        <f>'26-4월4주차'!H39</f>
        <v/>
      </c>
      <c r="K79" s="272" t="n"/>
      <c r="L79" s="273" t="n"/>
      <c r="M79" s="279" t="n"/>
      <c r="N79" s="271">
        <f>'26-4월4주차'!I39</f>
        <v/>
      </c>
      <c r="O79" s="272" t="n"/>
      <c r="P79" s="273" t="n"/>
      <c r="Q79" s="234" t="n"/>
      <c r="R79" s="271">
        <f>'26-4월4주차'!J39</f>
        <v/>
      </c>
      <c r="S79" s="272" t="n"/>
      <c r="T79" s="273" t="n"/>
    </row>
    <row r="80" ht="33" customFormat="1" customHeight="1" s="73">
      <c r="A80" s="278" t="n"/>
      <c r="B80" s="271">
        <f>'26-4월4주차'!F40</f>
        <v/>
      </c>
      <c r="C80" s="272" t="n"/>
      <c r="D80" s="273" t="n"/>
      <c r="E80" s="278" t="n"/>
      <c r="F80" s="271">
        <f>'26-4월4주차'!G40</f>
        <v/>
      </c>
      <c r="G80" s="272" t="n"/>
      <c r="H80" s="273" t="n"/>
      <c r="I80" s="278" t="n"/>
      <c r="J80" s="271">
        <f>'26-4월4주차'!H40</f>
        <v/>
      </c>
      <c r="K80" s="272" t="n"/>
      <c r="L80" s="273" t="n"/>
      <c r="M80" s="279" t="n"/>
      <c r="N80" s="271">
        <f>'26-4월4주차'!I40</f>
        <v/>
      </c>
      <c r="O80" s="272" t="n"/>
      <c r="P80" s="273" t="n"/>
      <c r="Q80" s="234" t="n"/>
      <c r="R80" s="271">
        <f>'26-4월4주차'!J40</f>
        <v/>
      </c>
      <c r="S80" s="272" t="n"/>
      <c r="T80" s="273" t="n"/>
    </row>
    <row r="81" ht="33" customFormat="1" customHeight="1" s="73">
      <c r="A81" s="278" t="n"/>
      <c r="B81" s="271">
        <f>'26-4월4주차'!F41</f>
        <v/>
      </c>
      <c r="C81" s="272" t="n"/>
      <c r="D81" s="273" t="n"/>
      <c r="E81" s="278" t="n"/>
      <c r="F81" s="271">
        <f>'26-4월4주차'!G41</f>
        <v/>
      </c>
      <c r="G81" s="272" t="n"/>
      <c r="H81" s="273" t="n"/>
      <c r="I81" s="278" t="n"/>
      <c r="J81" s="271">
        <f>'26-4월4주차'!H41</f>
        <v/>
      </c>
      <c r="K81" s="272" t="n"/>
      <c r="L81" s="273" t="n"/>
      <c r="M81" s="279" t="n"/>
      <c r="N81" s="271">
        <f>'26-4월4주차'!I41</f>
        <v/>
      </c>
      <c r="O81" s="272" t="n"/>
      <c r="P81" s="273" t="n"/>
      <c r="Q81" s="234" t="n"/>
      <c r="R81" s="271">
        <f>'26-4월4주차'!J41</f>
        <v/>
      </c>
      <c r="S81" s="272" t="n"/>
      <c r="T81" s="273" t="n"/>
    </row>
    <row r="82" ht="33" customFormat="1" customHeight="1" s="73">
      <c r="A82" s="278" t="n"/>
      <c r="B82" s="271">
        <f>'26-4월4주차'!F42</f>
        <v/>
      </c>
      <c r="C82" s="272" t="n"/>
      <c r="D82" s="273" t="n"/>
      <c r="E82" s="278" t="n"/>
      <c r="F82" s="271">
        <f>'26-4월4주차'!G42</f>
        <v/>
      </c>
      <c r="G82" s="272" t="n"/>
      <c r="H82" s="273" t="n"/>
      <c r="I82" s="278" t="n"/>
      <c r="J82" s="271">
        <f>'26-4월4주차'!H42</f>
        <v/>
      </c>
      <c r="K82" s="272" t="n"/>
      <c r="L82" s="273" t="n"/>
      <c r="M82" s="279" t="n"/>
      <c r="N82" s="271">
        <f>'26-4월4주차'!I42</f>
        <v/>
      </c>
      <c r="O82" s="272" t="n"/>
      <c r="P82" s="273" t="n"/>
      <c r="Q82" s="234" t="n"/>
      <c r="R82" s="271">
        <f>'26-4월4주차'!J42</f>
        <v/>
      </c>
      <c r="S82" s="272" t="n"/>
      <c r="T82" s="273" t="n"/>
    </row>
    <row r="83" ht="33" customFormat="1" customHeight="1" s="73">
      <c r="A83" s="67" t="inlineStr">
        <is>
          <t>식당</t>
        </is>
      </c>
      <c r="B83" s="280" t="inlineStr">
        <is>
          <t>NH농협타워점</t>
        </is>
      </c>
      <c r="C83" s="272" t="n"/>
      <c r="D83" s="273" t="n"/>
      <c r="E83" s="67" t="inlineStr">
        <is>
          <t>식당</t>
        </is>
      </c>
      <c r="F83" s="280" t="inlineStr">
        <is>
          <t>NH농협타워점</t>
        </is>
      </c>
      <c r="G83" s="272" t="n"/>
      <c r="H83" s="273" t="n"/>
      <c r="I83" s="67" t="inlineStr">
        <is>
          <t>식당</t>
        </is>
      </c>
      <c r="J83" s="280" t="inlineStr">
        <is>
          <t>NH농협타워점</t>
        </is>
      </c>
      <c r="K83" s="272" t="n"/>
      <c r="L83" s="273" t="n"/>
      <c r="M83" s="67" t="inlineStr">
        <is>
          <t>식당</t>
        </is>
      </c>
      <c r="N83" s="280" t="inlineStr">
        <is>
          <t>NH농협타워점</t>
        </is>
      </c>
      <c r="O83" s="272" t="n"/>
      <c r="P83" s="273" t="n"/>
      <c r="Q83" s="67" t="inlineStr">
        <is>
          <t>식당</t>
        </is>
      </c>
      <c r="R83" s="280" t="inlineStr">
        <is>
          <t>NH농협타워점</t>
        </is>
      </c>
      <c r="S83" s="272" t="n"/>
      <c r="T83" s="273" t="n"/>
    </row>
    <row r="84" ht="139.15" customFormat="1" customHeight="1" s="73">
      <c r="A84" s="67" t="inlineStr">
        <is>
          <t>관리리준</t>
        </is>
      </c>
      <c r="B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84" s="272" t="n"/>
      <c r="D84" s="273" t="n"/>
      <c r="E84" s="67" t="inlineStr">
        <is>
          <t>관리리준</t>
        </is>
      </c>
      <c r="F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84" s="272" t="n"/>
      <c r="H84" s="273" t="n"/>
      <c r="I84" s="67" t="inlineStr">
        <is>
          <t>관리리준</t>
        </is>
      </c>
      <c r="J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84" s="272" t="n"/>
      <c r="L84" s="273" t="n"/>
      <c r="M84" s="67" t="inlineStr">
        <is>
          <t>관리리준</t>
        </is>
      </c>
      <c r="N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84" s="272" t="n"/>
      <c r="P84" s="273" t="n"/>
      <c r="Q84" s="67" t="inlineStr">
        <is>
          <t>관리리준</t>
        </is>
      </c>
      <c r="R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84" s="272" t="n"/>
      <c r="T84" s="273" t="n"/>
    </row>
    <row r="85" ht="33" customFormat="1" customHeight="1" s="73">
      <c r="A85" s="67" t="inlineStr">
        <is>
          <t>채취일</t>
        </is>
      </c>
      <c r="B85" s="284">
        <f>B53</f>
        <v/>
      </c>
      <c r="C85" s="272" t="n"/>
      <c r="D85" s="71" t="n">
        <v>0.75</v>
      </c>
      <c r="E85" s="67" t="inlineStr">
        <is>
          <t>채취일</t>
        </is>
      </c>
      <c r="F85" s="284">
        <f>F53</f>
        <v/>
      </c>
      <c r="G85" s="272" t="n"/>
      <c r="H85" s="71" t="n">
        <v>0.75</v>
      </c>
      <c r="I85" s="67" t="inlineStr">
        <is>
          <t>채취일</t>
        </is>
      </c>
      <c r="J85" s="284">
        <f>J53</f>
        <v/>
      </c>
      <c r="K85" s="272" t="n"/>
      <c r="L85" s="71" t="n">
        <v>0.75</v>
      </c>
      <c r="M85" s="67" t="inlineStr">
        <is>
          <t>채취일</t>
        </is>
      </c>
      <c r="N85" s="284">
        <f>N53</f>
        <v/>
      </c>
      <c r="O85" s="272" t="n"/>
      <c r="P85" s="71" t="n">
        <v>0.75</v>
      </c>
      <c r="Q85" s="67" t="inlineStr">
        <is>
          <t>채취일</t>
        </is>
      </c>
      <c r="R85" s="284">
        <f>R53</f>
        <v/>
      </c>
      <c r="S85" s="272" t="n"/>
      <c r="T85" s="71" t="n">
        <v>0.7291666666666666</v>
      </c>
    </row>
    <row r="86" ht="33" customFormat="1" customHeight="1" s="73">
      <c r="A86" s="67" t="inlineStr">
        <is>
          <t>폐기일</t>
        </is>
      </c>
      <c r="B86" s="284">
        <f>B54</f>
        <v/>
      </c>
      <c r="C86" s="272" t="n"/>
      <c r="D86" s="71" t="n">
        <v>0.75</v>
      </c>
      <c r="E86" s="67" t="inlineStr">
        <is>
          <t>폐기일</t>
        </is>
      </c>
      <c r="F86" s="284">
        <f>F54</f>
        <v/>
      </c>
      <c r="G86" s="272" t="n"/>
      <c r="H86" s="71" t="n">
        <v>0.75</v>
      </c>
      <c r="I86" s="67" t="inlineStr">
        <is>
          <t>폐기일</t>
        </is>
      </c>
      <c r="J86" s="284">
        <f>J54</f>
        <v/>
      </c>
      <c r="K86" s="272" t="n"/>
      <c r="L86" s="71" t="n">
        <v>0.75</v>
      </c>
      <c r="M86" s="67" t="inlineStr">
        <is>
          <t>폐기일</t>
        </is>
      </c>
      <c r="N86" s="284">
        <f>N54</f>
        <v/>
      </c>
      <c r="O86" s="272" t="n"/>
      <c r="P86" s="71" t="n">
        <v>0.75</v>
      </c>
      <c r="Q86" s="67" t="inlineStr">
        <is>
          <t>폐기일</t>
        </is>
      </c>
      <c r="R86" s="284">
        <f>R54</f>
        <v/>
      </c>
      <c r="S86" s="272" t="n"/>
      <c r="T86" s="71" t="n">
        <v>0.7291666666666666</v>
      </c>
    </row>
    <row r="87" ht="33" customFormat="1" customHeight="1" s="73" thickBot="1">
      <c r="A87" s="72" t="inlineStr">
        <is>
          <t>채취자</t>
        </is>
      </c>
      <c r="B87" s="285" t="n"/>
      <c r="C87" s="286" t="n"/>
      <c r="D87" s="287" t="n"/>
      <c r="E87" s="72" t="inlineStr">
        <is>
          <t>채취자</t>
        </is>
      </c>
      <c r="F87" s="285" t="n"/>
      <c r="G87" s="286" t="n"/>
      <c r="H87" s="287" t="n"/>
      <c r="I87" s="72" t="inlineStr">
        <is>
          <t>채취자</t>
        </is>
      </c>
      <c r="J87" s="285" t="n"/>
      <c r="K87" s="286" t="n"/>
      <c r="L87" s="287" t="n"/>
      <c r="M87" s="72" t="inlineStr">
        <is>
          <t>채취자</t>
        </is>
      </c>
      <c r="N87" s="285" t="n"/>
      <c r="O87" s="286" t="n"/>
      <c r="P87" s="287" t="n"/>
      <c r="Q87" s="72" t="inlineStr">
        <is>
          <t>채취자</t>
        </is>
      </c>
      <c r="R87" s="285" t="n"/>
      <c r="S87" s="286" t="n"/>
      <c r="T87" s="287" t="n"/>
    </row>
    <row r="88" ht="33" customFormat="1" customHeight="1" s="73" thickTop="1">
      <c r="A88" s="268" t="inlineStr">
        <is>
          <t>보존식 기록표 (석식)</t>
        </is>
      </c>
      <c r="B88" s="269" t="n"/>
      <c r="C88" s="269" t="n"/>
      <c r="D88" s="270" t="n"/>
      <c r="E88" s="268" t="inlineStr">
        <is>
          <t>보존식 기록표 (석식)</t>
        </is>
      </c>
      <c r="F88" s="269" t="n"/>
      <c r="G88" s="269" t="n"/>
      <c r="H88" s="270" t="n"/>
      <c r="I88" s="268" t="inlineStr">
        <is>
          <t>보존식 기록표 (석식)</t>
        </is>
      </c>
      <c r="J88" s="269" t="n"/>
      <c r="K88" s="269" t="n"/>
      <c r="L88" s="270" t="n"/>
      <c r="M88" s="268" t="inlineStr">
        <is>
          <t>보존식 기록표 (석식)</t>
        </is>
      </c>
      <c r="N88" s="269" t="n"/>
      <c r="O88" s="269" t="n"/>
      <c r="P88" s="270" t="n"/>
      <c r="Q88" s="268" t="inlineStr">
        <is>
          <t>보존식 기록표 (석식)</t>
        </is>
      </c>
      <c r="R88" s="269" t="n"/>
      <c r="S88" s="269" t="n"/>
      <c r="T88" s="270" t="n"/>
    </row>
    <row r="89" ht="33" customFormat="1" customHeight="1" s="73">
      <c r="A89" s="169" t="inlineStr">
        <is>
          <t>식단명
월
라면코너</t>
        </is>
      </c>
      <c r="B89" s="280" t="inlineStr">
        <is>
          <t>파/계란/치즈/콩나물</t>
        </is>
      </c>
      <c r="C89" s="272" t="n"/>
      <c r="D89" s="273" t="n"/>
      <c r="E89" s="174" t="inlineStr">
        <is>
          <t>식단명
화
라면코너</t>
        </is>
      </c>
      <c r="F89" s="280" t="inlineStr">
        <is>
          <t>파/계란/치즈/비엔나</t>
        </is>
      </c>
      <c r="G89" s="272" t="n"/>
      <c r="H89" s="273" t="n"/>
      <c r="I89" s="179" t="inlineStr">
        <is>
          <t>식단명
수
라면코너</t>
        </is>
      </c>
      <c r="J89" s="280" t="inlineStr">
        <is>
          <t>파/계란/치즈/청양고추</t>
        </is>
      </c>
      <c r="K89" s="272" t="n"/>
      <c r="L89" s="273" t="n"/>
      <c r="M89" s="205" t="inlineStr">
        <is>
          <t>식단명
목
라면코너</t>
        </is>
      </c>
      <c r="N89" s="280" t="inlineStr">
        <is>
          <t>파/계란/치즈/떡국떡</t>
        </is>
      </c>
      <c r="O89" s="272" t="n"/>
      <c r="P89" s="273" t="n"/>
      <c r="Q89" s="207" t="inlineStr">
        <is>
          <t>식단명
금
라면코너</t>
        </is>
      </c>
      <c r="R89" s="280" t="inlineStr">
        <is>
          <t>파/계란/치즈/양파</t>
        </is>
      </c>
      <c r="S89" s="272" t="n"/>
      <c r="T89" s="273" t="n"/>
    </row>
    <row r="90" ht="33" customFormat="1" customHeight="1" s="73">
      <c r="A90" s="278" t="n"/>
      <c r="B90" s="280" t="inlineStr">
        <is>
          <t>단무지</t>
        </is>
      </c>
      <c r="C90" s="272" t="n"/>
      <c r="D90" s="273" t="n"/>
      <c r="E90" s="278" t="n"/>
      <c r="F90" s="280" t="inlineStr">
        <is>
          <t>단무지</t>
        </is>
      </c>
      <c r="G90" s="272" t="n"/>
      <c r="H90" s="273" t="n"/>
      <c r="I90" s="278" t="n"/>
      <c r="J90" s="280" t="inlineStr">
        <is>
          <t>단무지</t>
        </is>
      </c>
      <c r="K90" s="272" t="n"/>
      <c r="L90" s="273" t="n"/>
      <c r="M90" s="278" t="n"/>
      <c r="N90" s="280" t="inlineStr">
        <is>
          <t>단무지</t>
        </is>
      </c>
      <c r="O90" s="272" t="n"/>
      <c r="P90" s="273" t="n"/>
      <c r="Q90" s="278" t="n"/>
      <c r="R90" s="280" t="inlineStr">
        <is>
          <t>단무지</t>
        </is>
      </c>
      <c r="S90" s="272" t="n"/>
      <c r="T90" s="273" t="n"/>
    </row>
    <row r="91" ht="33" customFormat="1" customHeight="1" s="73">
      <c r="A91" s="278" t="n"/>
      <c r="B91" s="280" t="inlineStr">
        <is>
          <t>배추김치</t>
        </is>
      </c>
      <c r="C91" s="272" t="n"/>
      <c r="D91" s="273" t="n"/>
      <c r="E91" s="278" t="n"/>
      <c r="F91" s="280" t="inlineStr">
        <is>
          <t>배추김치</t>
        </is>
      </c>
      <c r="G91" s="272" t="n"/>
      <c r="H91" s="273" t="n"/>
      <c r="I91" s="278" t="n"/>
      <c r="J91" s="280" t="inlineStr">
        <is>
          <t>배추김치</t>
        </is>
      </c>
      <c r="K91" s="272" t="n"/>
      <c r="L91" s="273" t="n"/>
      <c r="M91" s="278" t="n"/>
      <c r="N91" s="280" t="inlineStr">
        <is>
          <t>배추김치</t>
        </is>
      </c>
      <c r="O91" s="272" t="n"/>
      <c r="P91" s="273" t="n"/>
      <c r="Q91" s="278" t="n"/>
      <c r="R91" s="280" t="inlineStr">
        <is>
          <t>배추김치</t>
        </is>
      </c>
      <c r="S91" s="272" t="n"/>
      <c r="T91" s="273" t="n"/>
    </row>
    <row r="92" ht="33" customFormat="1" customHeight="1" s="73">
      <c r="A92" s="278" t="n"/>
      <c r="B92" s="280" t="inlineStr">
        <is>
          <t>쌀밥</t>
        </is>
      </c>
      <c r="C92" s="272" t="n"/>
      <c r="D92" s="273" t="n"/>
      <c r="E92" s="278" t="n"/>
      <c r="F92" s="280" t="inlineStr">
        <is>
          <t>쌀밥</t>
        </is>
      </c>
      <c r="G92" s="272" t="n"/>
      <c r="H92" s="273" t="n"/>
      <c r="I92" s="278" t="n"/>
      <c r="J92" s="280" t="inlineStr">
        <is>
          <t>쌀밥</t>
        </is>
      </c>
      <c r="K92" s="272" t="n"/>
      <c r="L92" s="273" t="n"/>
      <c r="M92" s="278" t="n"/>
      <c r="N92" s="280" t="inlineStr">
        <is>
          <t>쌀밥</t>
        </is>
      </c>
      <c r="O92" s="272" t="n"/>
      <c r="P92" s="273" t="n"/>
      <c r="Q92" s="278" t="n"/>
      <c r="R92" s="280" t="inlineStr">
        <is>
          <t>쌀밥</t>
        </is>
      </c>
      <c r="S92" s="272" t="n"/>
      <c r="T92" s="273" t="n"/>
    </row>
    <row r="93" ht="33" customFormat="1" customHeight="1" s="73">
      <c r="A93" s="67" t="inlineStr">
        <is>
          <t>식당</t>
        </is>
      </c>
      <c r="B93" s="280" t="inlineStr">
        <is>
          <t>NH농협타워점</t>
        </is>
      </c>
      <c r="C93" s="272" t="n"/>
      <c r="D93" s="273" t="n"/>
      <c r="E93" s="67" t="inlineStr">
        <is>
          <t>식당</t>
        </is>
      </c>
      <c r="F93" s="280" t="inlineStr">
        <is>
          <t>NH농협타워점</t>
        </is>
      </c>
      <c r="G93" s="272" t="n"/>
      <c r="H93" s="273" t="n"/>
      <c r="I93" s="67" t="inlineStr">
        <is>
          <t>식당</t>
        </is>
      </c>
      <c r="J93" s="280" t="inlineStr">
        <is>
          <t>NH농협타워점</t>
        </is>
      </c>
      <c r="K93" s="272" t="n"/>
      <c r="L93" s="273" t="n"/>
      <c r="M93" s="67" t="inlineStr">
        <is>
          <t>식당</t>
        </is>
      </c>
      <c r="N93" s="280" t="inlineStr">
        <is>
          <t>NH농협타워점</t>
        </is>
      </c>
      <c r="O93" s="272" t="n"/>
      <c r="P93" s="273" t="n"/>
      <c r="Q93" s="67" t="inlineStr">
        <is>
          <t>식당</t>
        </is>
      </c>
      <c r="R93" s="280" t="inlineStr">
        <is>
          <t>NH농협타워점</t>
        </is>
      </c>
      <c r="S93" s="272" t="n"/>
      <c r="T93" s="273" t="n"/>
    </row>
    <row r="94" ht="139.15" customFormat="1" customHeight="1" s="70">
      <c r="A94" s="67" t="inlineStr">
        <is>
          <t>관리리준</t>
        </is>
      </c>
      <c r="B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94" s="272" t="n"/>
      <c r="D94" s="273" t="n"/>
      <c r="E94" s="67" t="inlineStr">
        <is>
          <t>관리리준</t>
        </is>
      </c>
      <c r="F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94" s="272" t="n"/>
      <c r="H94" s="273" t="n"/>
      <c r="I94" s="67" t="inlineStr">
        <is>
          <t>관리리준</t>
        </is>
      </c>
      <c r="J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94" s="272" t="n"/>
      <c r="L94" s="273" t="n"/>
      <c r="M94" s="67" t="inlineStr">
        <is>
          <t>관리리준</t>
        </is>
      </c>
      <c r="N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94" s="272" t="n"/>
      <c r="P94" s="273" t="n"/>
      <c r="Q94" s="67" t="inlineStr">
        <is>
          <t>관리리준</t>
        </is>
      </c>
      <c r="R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94" s="272" t="n"/>
      <c r="T94" s="273" t="n"/>
    </row>
    <row r="95" ht="33" customFormat="1" customHeight="1" s="73">
      <c r="A95" s="67" t="inlineStr">
        <is>
          <t>채취일</t>
        </is>
      </c>
      <c r="B95" s="284">
        <f>B85</f>
        <v/>
      </c>
      <c r="C95" s="272" t="n"/>
      <c r="D95" s="71" t="n">
        <v>0.75</v>
      </c>
      <c r="E95" s="67" t="inlineStr">
        <is>
          <t>채취일</t>
        </is>
      </c>
      <c r="F95" s="284">
        <f>F85</f>
        <v/>
      </c>
      <c r="G95" s="272" t="n"/>
      <c r="H95" s="71" t="n">
        <v>0.75</v>
      </c>
      <c r="I95" s="67" t="inlineStr">
        <is>
          <t>채취일</t>
        </is>
      </c>
      <c r="J95" s="284">
        <f>J85</f>
        <v/>
      </c>
      <c r="K95" s="272" t="n"/>
      <c r="L95" s="71" t="n">
        <v>0.75</v>
      </c>
      <c r="M95" s="67" t="inlineStr">
        <is>
          <t>채취일</t>
        </is>
      </c>
      <c r="N95" s="284">
        <f>N85</f>
        <v/>
      </c>
      <c r="O95" s="272" t="n"/>
      <c r="P95" s="71" t="n">
        <v>0.75</v>
      </c>
      <c r="Q95" s="67" t="inlineStr">
        <is>
          <t>채취일</t>
        </is>
      </c>
      <c r="R95" s="284">
        <f>R85</f>
        <v/>
      </c>
      <c r="S95" s="272" t="n"/>
      <c r="T95" s="71" t="n">
        <v>0.7291666666666666</v>
      </c>
    </row>
    <row r="96" ht="33" customFormat="1" customHeight="1" s="73">
      <c r="A96" s="67" t="inlineStr">
        <is>
          <t>폐기일</t>
        </is>
      </c>
      <c r="B96" s="284">
        <f>B95+6</f>
        <v/>
      </c>
      <c r="C96" s="272" t="n"/>
      <c r="D96" s="71" t="n">
        <v>0.75</v>
      </c>
      <c r="E96" s="67" t="inlineStr">
        <is>
          <t>폐기일</t>
        </is>
      </c>
      <c r="F96" s="284">
        <f>F95+6</f>
        <v/>
      </c>
      <c r="G96" s="272" t="n"/>
      <c r="H96" s="71" t="n">
        <v>0.75</v>
      </c>
      <c r="I96" s="67" t="inlineStr">
        <is>
          <t>폐기일</t>
        </is>
      </c>
      <c r="J96" s="284">
        <f>J95+6</f>
        <v/>
      </c>
      <c r="K96" s="272" t="n"/>
      <c r="L96" s="71" t="n">
        <v>0.75</v>
      </c>
      <c r="M96" s="67" t="inlineStr">
        <is>
          <t>폐기일</t>
        </is>
      </c>
      <c r="N96" s="284">
        <f>N95+6</f>
        <v/>
      </c>
      <c r="O96" s="272" t="n"/>
      <c r="P96" s="71" t="n">
        <v>0.75</v>
      </c>
      <c r="Q96" s="67" t="inlineStr">
        <is>
          <t>폐기일</t>
        </is>
      </c>
      <c r="R96" s="284">
        <f>R95+6</f>
        <v/>
      </c>
      <c r="S96" s="272" t="n"/>
      <c r="T96" s="71" t="n">
        <v>0.7291666666666666</v>
      </c>
    </row>
    <row r="97" ht="33" customFormat="1" customHeight="1" s="73" thickBot="1">
      <c r="A97" s="72" t="inlineStr">
        <is>
          <t>채취자</t>
        </is>
      </c>
      <c r="B97" s="285" t="n"/>
      <c r="C97" s="286" t="n"/>
      <c r="D97" s="287" t="n"/>
      <c r="E97" s="72" t="inlineStr">
        <is>
          <t>채취자</t>
        </is>
      </c>
      <c r="F97" s="285" t="n"/>
      <c r="G97" s="286" t="n"/>
      <c r="H97" s="287" t="n"/>
      <c r="I97" s="72" t="inlineStr">
        <is>
          <t>채취자</t>
        </is>
      </c>
      <c r="J97" s="285" t="n"/>
      <c r="K97" s="286" t="n"/>
      <c r="L97" s="287" t="n"/>
      <c r="M97" s="72" t="inlineStr">
        <is>
          <t>채취자</t>
        </is>
      </c>
      <c r="N97" s="285" t="n"/>
      <c r="O97" s="286" t="n"/>
      <c r="P97" s="287" t="n"/>
      <c r="Q97" s="72" t="inlineStr">
        <is>
          <t>채취자</t>
        </is>
      </c>
      <c r="R97" s="285" t="n"/>
      <c r="S97" s="286" t="n"/>
      <c r="T97" s="287" t="n"/>
    </row>
    <row r="98" ht="33" customFormat="1" customHeight="1" s="74" thickTop="1">
      <c r="A98" s="292" t="inlineStr">
        <is>
          <t>보존식 기록표 (추가 코너  중식 채취)</t>
        </is>
      </c>
      <c r="B98" s="226" t="n"/>
      <c r="C98" s="226" t="n"/>
      <c r="D98" s="293" t="n"/>
      <c r="E98" s="292" t="inlineStr">
        <is>
          <t>보존식 기록표 (추가 코너  중식 채취)</t>
        </is>
      </c>
      <c r="F98" s="226" t="n"/>
      <c r="G98" s="226" t="n"/>
      <c r="H98" s="293" t="n"/>
      <c r="I98" s="213" t="inlineStr">
        <is>
          <t>보존식 기록표 (추가 코너  중식 채취)</t>
        </is>
      </c>
      <c r="J98" s="226" t="n"/>
      <c r="K98" s="226" t="n"/>
      <c r="L98" s="226" t="n"/>
      <c r="M98" s="292" t="inlineStr">
        <is>
          <t>보존식 기록표 (추가 코너  중식 채취)</t>
        </is>
      </c>
      <c r="N98" s="226" t="n"/>
      <c r="O98" s="226" t="n"/>
      <c r="P98" s="293" t="n"/>
      <c r="Q98" s="213" t="inlineStr">
        <is>
          <t>보존식 기록표 (추가 코너  중식 채취)</t>
        </is>
      </c>
      <c r="R98" s="226" t="n"/>
      <c r="S98" s="226" t="n"/>
      <c r="T98" s="226" t="n"/>
    </row>
    <row r="99" ht="33" customHeight="1" s="225">
      <c r="A99" s="215" t="inlineStr">
        <is>
          <t>식단명
월</t>
        </is>
      </c>
      <c r="B99" s="75" t="inlineStr">
        <is>
          <t>소금</t>
        </is>
      </c>
      <c r="C99" s="75" t="inlineStr">
        <is>
          <t>고춧가루</t>
        </is>
      </c>
      <c r="D99" s="76" t="inlineStr">
        <is>
          <t>후추</t>
        </is>
      </c>
      <c r="E99" s="217" t="inlineStr">
        <is>
          <t>식단명
화</t>
        </is>
      </c>
      <c r="F99" s="75" t="inlineStr">
        <is>
          <t>소금</t>
        </is>
      </c>
      <c r="G99" s="75" t="inlineStr">
        <is>
          <t>고춧가루</t>
        </is>
      </c>
      <c r="H99" s="76" t="inlineStr">
        <is>
          <t>후추</t>
        </is>
      </c>
      <c r="I99" s="219" t="inlineStr">
        <is>
          <t>식단명
수</t>
        </is>
      </c>
      <c r="J99" s="75" t="inlineStr">
        <is>
          <t>소금</t>
        </is>
      </c>
      <c r="K99" s="75" t="inlineStr">
        <is>
          <t>고춧가루</t>
        </is>
      </c>
      <c r="L99" s="76" t="inlineStr">
        <is>
          <t>후추</t>
        </is>
      </c>
      <c r="M99" s="221" t="inlineStr">
        <is>
          <t>식단명
목</t>
        </is>
      </c>
      <c r="N99" s="75" t="inlineStr">
        <is>
          <t>소금</t>
        </is>
      </c>
      <c r="O99" s="75" t="inlineStr">
        <is>
          <t>고춧가루</t>
        </is>
      </c>
      <c r="P99" s="76" t="inlineStr">
        <is>
          <t>후추</t>
        </is>
      </c>
      <c r="Q99" s="223" t="inlineStr">
        <is>
          <t>식단명
금</t>
        </is>
      </c>
      <c r="R99" s="75" t="inlineStr">
        <is>
          <t>소금</t>
        </is>
      </c>
      <c r="S99" s="75" t="inlineStr">
        <is>
          <t>고춧가루</t>
        </is>
      </c>
      <c r="T99" s="76" t="inlineStr">
        <is>
          <t>후추</t>
        </is>
      </c>
    </row>
    <row r="100" ht="33" customHeight="1" s="225">
      <c r="A100" s="279" t="n"/>
      <c r="B100" s="75" t="inlineStr">
        <is>
          <t>진간장</t>
        </is>
      </c>
      <c r="C100" s="202" t="inlineStr">
        <is>
          <t>참기름</t>
        </is>
      </c>
      <c r="D100" s="76" t="n"/>
      <c r="E100" s="279" t="n"/>
      <c r="F100" s="75" t="inlineStr">
        <is>
          <t>진간장</t>
        </is>
      </c>
      <c r="G100" s="202" t="inlineStr">
        <is>
          <t>참기름</t>
        </is>
      </c>
      <c r="H100" s="76" t="n"/>
      <c r="I100" s="234" t="n"/>
      <c r="J100" s="75" t="inlineStr">
        <is>
          <t>진간장</t>
        </is>
      </c>
      <c r="K100" s="202" t="inlineStr">
        <is>
          <t>참기름</t>
        </is>
      </c>
      <c r="L100" s="76" t="n"/>
      <c r="M100" s="279" t="n"/>
      <c r="N100" s="75" t="inlineStr">
        <is>
          <t>진간장</t>
        </is>
      </c>
      <c r="O100" s="202" t="inlineStr">
        <is>
          <t>참기름</t>
        </is>
      </c>
      <c r="P100" s="76" t="n"/>
      <c r="Q100" s="234" t="n"/>
      <c r="R100" s="75" t="inlineStr">
        <is>
          <t>진간장</t>
        </is>
      </c>
      <c r="S100" s="202" t="inlineStr">
        <is>
          <t>참기름</t>
        </is>
      </c>
      <c r="T100" s="76" t="n"/>
    </row>
    <row r="101" ht="33" customHeight="1" s="225">
      <c r="A101" s="68" t="inlineStr">
        <is>
          <t>식당</t>
        </is>
      </c>
      <c r="B101" s="76" t="inlineStr">
        <is>
          <t>NH농협타워점</t>
        </is>
      </c>
      <c r="C101" s="272" t="n"/>
      <c r="D101" s="281" t="n"/>
      <c r="E101" s="68" t="inlineStr">
        <is>
          <t>식당</t>
        </is>
      </c>
      <c r="F101" s="76" t="inlineStr">
        <is>
          <t>NH농협타워점</t>
        </is>
      </c>
      <c r="G101" s="272" t="n"/>
      <c r="H101" s="281" t="n"/>
      <c r="I101" s="69" t="inlineStr">
        <is>
          <t>식당</t>
        </is>
      </c>
      <c r="J101" s="202" t="inlineStr">
        <is>
          <t>NH농협타워점</t>
        </is>
      </c>
      <c r="K101" s="272" t="n"/>
      <c r="L101" s="272" t="n"/>
      <c r="M101" s="68" t="inlineStr">
        <is>
          <t>식당</t>
        </is>
      </c>
      <c r="N101" s="76" t="inlineStr">
        <is>
          <t>NH농협타워점</t>
        </is>
      </c>
      <c r="O101" s="272" t="n"/>
      <c r="P101" s="281" t="n"/>
      <c r="Q101" s="69" t="inlineStr">
        <is>
          <t>식당</t>
        </is>
      </c>
      <c r="R101" s="202" t="inlineStr">
        <is>
          <t>NH농협타워점</t>
        </is>
      </c>
      <c r="S101" s="272" t="n"/>
      <c r="T101" s="272" t="n"/>
    </row>
    <row r="102" ht="139.15" customHeight="1" s="225">
      <c r="A102" s="68" t="inlineStr">
        <is>
          <t>관리리준</t>
        </is>
      </c>
      <c r="B102" s="283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102" s="272" t="n"/>
      <c r="D102" s="281" t="n"/>
      <c r="E102" s="68" t="inlineStr">
        <is>
          <t>관리리준</t>
        </is>
      </c>
      <c r="F102" s="283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102" s="272" t="n"/>
      <c r="H102" s="281" t="n"/>
      <c r="I102" s="69" t="inlineStr">
        <is>
          <t>관리리준</t>
        </is>
      </c>
      <c r="J102" s="186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102" s="272" t="n"/>
      <c r="L102" s="272" t="n"/>
      <c r="M102" s="68" t="inlineStr">
        <is>
          <t>관리리준</t>
        </is>
      </c>
      <c r="N102" s="283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102" s="272" t="n"/>
      <c r="P102" s="281" t="n"/>
      <c r="Q102" s="69" t="inlineStr">
        <is>
          <t>관리리준</t>
        </is>
      </c>
      <c r="R102" s="186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102" s="272" t="n"/>
      <c r="T102" s="272" t="n"/>
    </row>
    <row r="103" ht="33" customHeight="1" s="225">
      <c r="A103" s="68" t="inlineStr">
        <is>
          <t>채취일</t>
        </is>
      </c>
      <c r="B103" s="284">
        <f>B9</f>
        <v/>
      </c>
      <c r="C103" s="272" t="n"/>
      <c r="D103" s="78" t="inlineStr">
        <is>
          <t>중식 11:20</t>
        </is>
      </c>
      <c r="E103" s="68" t="inlineStr">
        <is>
          <t>채취일</t>
        </is>
      </c>
      <c r="F103" s="284">
        <f>F9</f>
        <v/>
      </c>
      <c r="G103" s="272" t="n"/>
      <c r="H103" s="78" t="inlineStr">
        <is>
          <t>중식 11:20</t>
        </is>
      </c>
      <c r="I103" s="69" t="inlineStr">
        <is>
          <t>채취일</t>
        </is>
      </c>
      <c r="J103" s="284">
        <f>J9</f>
        <v/>
      </c>
      <c r="K103" s="272" t="n"/>
      <c r="L103" s="78" t="inlineStr">
        <is>
          <t>중식 11:20</t>
        </is>
      </c>
      <c r="M103" s="68" t="inlineStr">
        <is>
          <t>채취일</t>
        </is>
      </c>
      <c r="N103" s="284">
        <f>N9</f>
        <v/>
      </c>
      <c r="O103" s="272" t="n"/>
      <c r="P103" s="78" t="inlineStr">
        <is>
          <t>중식 11:20</t>
        </is>
      </c>
      <c r="Q103" s="69" t="inlineStr">
        <is>
          <t>채취일</t>
        </is>
      </c>
      <c r="R103" s="284">
        <f>R9</f>
        <v/>
      </c>
      <c r="S103" s="272" t="n"/>
      <c r="T103" s="78" t="inlineStr">
        <is>
          <t>중식 11:20</t>
        </is>
      </c>
    </row>
    <row r="104" ht="33" customHeight="1" s="225">
      <c r="A104" s="68" t="inlineStr">
        <is>
          <t>폐기일</t>
        </is>
      </c>
      <c r="B104" s="284">
        <f>B103+6</f>
        <v/>
      </c>
      <c r="C104" s="272" t="n"/>
      <c r="D104" s="78" t="inlineStr">
        <is>
          <t>중식 11:20</t>
        </is>
      </c>
      <c r="E104" s="68" t="inlineStr">
        <is>
          <t>폐기일</t>
        </is>
      </c>
      <c r="F104" s="284">
        <f>F103+7</f>
        <v/>
      </c>
      <c r="G104" s="272" t="n"/>
      <c r="H104" s="78" t="inlineStr">
        <is>
          <t>중식 11:20</t>
        </is>
      </c>
      <c r="I104" s="69" t="inlineStr">
        <is>
          <t>폐기일</t>
        </is>
      </c>
      <c r="J104" s="284">
        <f>J103+7</f>
        <v/>
      </c>
      <c r="K104" s="272" t="n"/>
      <c r="L104" s="78" t="inlineStr">
        <is>
          <t>중식 11:20</t>
        </is>
      </c>
      <c r="M104" s="68" t="inlineStr">
        <is>
          <t>폐기일</t>
        </is>
      </c>
      <c r="N104" s="284">
        <f>N103+7</f>
        <v/>
      </c>
      <c r="O104" s="272" t="n"/>
      <c r="P104" s="78" t="inlineStr">
        <is>
          <t>중식 11:20</t>
        </is>
      </c>
      <c r="Q104" s="69" t="inlineStr">
        <is>
          <t>폐기일</t>
        </is>
      </c>
      <c r="R104" s="284">
        <f>R103+7</f>
        <v/>
      </c>
      <c r="S104" s="272" t="n"/>
      <c r="T104" s="78" t="inlineStr">
        <is>
          <t>중식 11:20</t>
        </is>
      </c>
    </row>
    <row r="105" ht="33" customHeight="1" s="225" thickBot="1">
      <c r="A105" s="79" t="inlineStr">
        <is>
          <t>채취자</t>
        </is>
      </c>
      <c r="B105" s="288" t="n"/>
      <c r="C105" s="289" t="n"/>
      <c r="D105" s="290" t="n"/>
      <c r="E105" s="79" t="inlineStr">
        <is>
          <t>채취자</t>
        </is>
      </c>
      <c r="F105" s="288" t="n"/>
      <c r="G105" s="289" t="n"/>
      <c r="H105" s="290" t="n"/>
      <c r="I105" s="80" t="inlineStr">
        <is>
          <t>채취자</t>
        </is>
      </c>
      <c r="J105" s="199" t="n"/>
      <c r="K105" s="289" t="n"/>
      <c r="L105" s="289" t="n"/>
      <c r="M105" s="79" t="inlineStr">
        <is>
          <t>채취자</t>
        </is>
      </c>
      <c r="N105" s="288" t="n"/>
      <c r="O105" s="289" t="n"/>
      <c r="P105" s="290" t="n"/>
      <c r="Q105" s="80" t="inlineStr">
        <is>
          <t>채취자</t>
        </is>
      </c>
      <c r="R105" s="199" t="n"/>
      <c r="S105" s="289" t="n"/>
      <c r="T105" s="289" t="n"/>
    </row>
  </sheetData>
  <mergeCells count="560">
    <mergeCell ref="Q13:Q16"/>
    <mergeCell ref="B60:D60"/>
    <mergeCell ref="F18:H18"/>
    <mergeCell ref="R67:S67"/>
    <mergeCell ref="F45:H45"/>
    <mergeCell ref="F103:G103"/>
    <mergeCell ref="N17:P17"/>
    <mergeCell ref="F17:H17"/>
    <mergeCell ref="J11:L11"/>
    <mergeCell ref="J9:K9"/>
    <mergeCell ref="F47:H47"/>
    <mergeCell ref="A44:D44"/>
    <mergeCell ref="B84:D84"/>
    <mergeCell ref="R75:T75"/>
    <mergeCell ref="A99:A100"/>
    <mergeCell ref="J75:L75"/>
    <mergeCell ref="R62:T62"/>
    <mergeCell ref="Q23:Q26"/>
    <mergeCell ref="J50:L50"/>
    <mergeCell ref="F61:H61"/>
    <mergeCell ref="R72:T72"/>
    <mergeCell ref="B80:D80"/>
    <mergeCell ref="N29:O29"/>
    <mergeCell ref="M88:P88"/>
    <mergeCell ref="J52:L52"/>
    <mergeCell ref="E88:H88"/>
    <mergeCell ref="R14:T14"/>
    <mergeCell ref="J39:L39"/>
    <mergeCell ref="E1:H1"/>
    <mergeCell ref="F96:G96"/>
    <mergeCell ref="Q89:Q92"/>
    <mergeCell ref="M2:M6"/>
    <mergeCell ref="J81:L81"/>
    <mergeCell ref="N97:P97"/>
    <mergeCell ref="R90:T90"/>
    <mergeCell ref="R65:T65"/>
    <mergeCell ref="I44:L44"/>
    <mergeCell ref="B8:D8"/>
    <mergeCell ref="J65:L65"/>
    <mergeCell ref="F35:H35"/>
    <mergeCell ref="J70:L70"/>
    <mergeCell ref="Q77:Q82"/>
    <mergeCell ref="I77:I82"/>
    <mergeCell ref="R19:S19"/>
    <mergeCell ref="J7:L7"/>
    <mergeCell ref="J63:L63"/>
    <mergeCell ref="E12:H12"/>
    <mergeCell ref="N42:O42"/>
    <mergeCell ref="F42:G42"/>
    <mergeCell ref="B68:D68"/>
    <mergeCell ref="F66:G66"/>
    <mergeCell ref="B53:C53"/>
    <mergeCell ref="B5:D5"/>
    <mergeCell ref="J2:L2"/>
    <mergeCell ref="N45:P45"/>
    <mergeCell ref="I32:L32"/>
    <mergeCell ref="F25:H25"/>
    <mergeCell ref="N47:P47"/>
    <mergeCell ref="R11:T11"/>
    <mergeCell ref="J14:L14"/>
    <mergeCell ref="R13:T13"/>
    <mergeCell ref="J60:L60"/>
    <mergeCell ref="R84:T84"/>
    <mergeCell ref="R78:T78"/>
    <mergeCell ref="B21:D21"/>
    <mergeCell ref="J78:L78"/>
    <mergeCell ref="I98:L98"/>
    <mergeCell ref="A76:D76"/>
    <mergeCell ref="F73:G73"/>
    <mergeCell ref="R15:T15"/>
    <mergeCell ref="R80:T80"/>
    <mergeCell ref="B23:D23"/>
    <mergeCell ref="J55:L55"/>
    <mergeCell ref="B87:D87"/>
    <mergeCell ref="N96:O96"/>
    <mergeCell ref="F38:H38"/>
    <mergeCell ref="E57:E63"/>
    <mergeCell ref="F13:H13"/>
    <mergeCell ref="E99:E100"/>
    <mergeCell ref="F105:H105"/>
    <mergeCell ref="F43:H43"/>
    <mergeCell ref="N40:P40"/>
    <mergeCell ref="B51:D51"/>
    <mergeCell ref="J71:L71"/>
    <mergeCell ref="F82:H82"/>
    <mergeCell ref="R33:T33"/>
    <mergeCell ref="R20:S20"/>
    <mergeCell ref="J58:L58"/>
    <mergeCell ref="R93:T93"/>
    <mergeCell ref="A69:D69"/>
    <mergeCell ref="F57:H57"/>
    <mergeCell ref="R85:S85"/>
    <mergeCell ref="M45:M50"/>
    <mergeCell ref="J8:L8"/>
    <mergeCell ref="N35:P35"/>
    <mergeCell ref="A13:A16"/>
    <mergeCell ref="B30:C30"/>
    <mergeCell ref="R28:T28"/>
    <mergeCell ref="J102:L102"/>
    <mergeCell ref="E45:E50"/>
    <mergeCell ref="M12:P12"/>
    <mergeCell ref="R9:S9"/>
    <mergeCell ref="B77:D77"/>
    <mergeCell ref="J68:L68"/>
    <mergeCell ref="N3:P3"/>
    <mergeCell ref="N68:P68"/>
    <mergeCell ref="N46:P46"/>
    <mergeCell ref="N5:P5"/>
    <mergeCell ref="F75:H75"/>
    <mergeCell ref="N61:P61"/>
    <mergeCell ref="F62:H62"/>
    <mergeCell ref="N48:P48"/>
    <mergeCell ref="Q32:T32"/>
    <mergeCell ref="F72:H72"/>
    <mergeCell ref="F28:H28"/>
    <mergeCell ref="R104:S104"/>
    <mergeCell ref="R81:T81"/>
    <mergeCell ref="J21:L21"/>
    <mergeCell ref="B24:D24"/>
    <mergeCell ref="B89:D89"/>
    <mergeCell ref="N73:O73"/>
    <mergeCell ref="J23:L23"/>
    <mergeCell ref="B26:D26"/>
    <mergeCell ref="B97:D97"/>
    <mergeCell ref="F67:G67"/>
    <mergeCell ref="B90:D90"/>
    <mergeCell ref="N16:P16"/>
    <mergeCell ref="N51:P51"/>
    <mergeCell ref="B27:D27"/>
    <mergeCell ref="N105:P105"/>
    <mergeCell ref="F83:H83"/>
    <mergeCell ref="R7:T7"/>
    <mergeCell ref="N43:P43"/>
    <mergeCell ref="R34:T34"/>
    <mergeCell ref="F29:G29"/>
    <mergeCell ref="E23:E26"/>
    <mergeCell ref="J10:K10"/>
    <mergeCell ref="R36:T36"/>
    <mergeCell ref="R101:T101"/>
    <mergeCell ref="N66:O66"/>
    <mergeCell ref="J101:L101"/>
    <mergeCell ref="N53:O53"/>
    <mergeCell ref="B37:D37"/>
    <mergeCell ref="R30:S30"/>
    <mergeCell ref="M56:P56"/>
    <mergeCell ref="R77:T77"/>
    <mergeCell ref="J86:K86"/>
    <mergeCell ref="F14:H14"/>
    <mergeCell ref="R54:S54"/>
    <mergeCell ref="J92:L92"/>
    <mergeCell ref="E89:E92"/>
    <mergeCell ref="I76:L76"/>
    <mergeCell ref="R41:S41"/>
    <mergeCell ref="I33:I38"/>
    <mergeCell ref="A33:A38"/>
    <mergeCell ref="F78:H78"/>
    <mergeCell ref="N4:P4"/>
    <mergeCell ref="F65:H65"/>
    <mergeCell ref="A56:D56"/>
    <mergeCell ref="J87:L87"/>
    <mergeCell ref="R49:T49"/>
    <mergeCell ref="R24:T24"/>
    <mergeCell ref="J24:L24"/>
    <mergeCell ref="J89:L89"/>
    <mergeCell ref="F54:G54"/>
    <mergeCell ref="A22:D22"/>
    <mergeCell ref="N18:P18"/>
    <mergeCell ref="F19:G19"/>
    <mergeCell ref="R26:T26"/>
    <mergeCell ref="J26:L26"/>
    <mergeCell ref="F91:H91"/>
    <mergeCell ref="N82:P82"/>
    <mergeCell ref="N57:P57"/>
    <mergeCell ref="F20:G20"/>
    <mergeCell ref="F93:H93"/>
    <mergeCell ref="F85:G85"/>
    <mergeCell ref="A98:D98"/>
    <mergeCell ref="M13:M16"/>
    <mergeCell ref="R102:T102"/>
    <mergeCell ref="J103:K103"/>
    <mergeCell ref="N67:O67"/>
    <mergeCell ref="B45:D45"/>
    <mergeCell ref="B103:C103"/>
    <mergeCell ref="R52:T52"/>
    <mergeCell ref="R39:T39"/>
    <mergeCell ref="B47:D47"/>
    <mergeCell ref="F11:H11"/>
    <mergeCell ref="F9:G9"/>
    <mergeCell ref="B59:D59"/>
    <mergeCell ref="B46:D46"/>
    <mergeCell ref="J37:L37"/>
    <mergeCell ref="F40:H40"/>
    <mergeCell ref="N37:P37"/>
    <mergeCell ref="M23:M26"/>
    <mergeCell ref="F15:H15"/>
    <mergeCell ref="N72:P72"/>
    <mergeCell ref="B48:D48"/>
    <mergeCell ref="J29:K29"/>
    <mergeCell ref="I88:L88"/>
    <mergeCell ref="F79:H79"/>
    <mergeCell ref="N14:P14"/>
    <mergeCell ref="R21:T21"/>
    <mergeCell ref="R70:T70"/>
    <mergeCell ref="B96:C96"/>
    <mergeCell ref="Q76:T76"/>
    <mergeCell ref="Q33:Q38"/>
    <mergeCell ref="F81:H81"/>
    <mergeCell ref="R50:T50"/>
    <mergeCell ref="J47:L47"/>
    <mergeCell ref="J90:L90"/>
    <mergeCell ref="N90:P90"/>
    <mergeCell ref="R2:T2"/>
    <mergeCell ref="N65:P65"/>
    <mergeCell ref="M1:P1"/>
    <mergeCell ref="B35:D35"/>
    <mergeCell ref="N27:P27"/>
    <mergeCell ref="N83:P83"/>
    <mergeCell ref="E77:E82"/>
    <mergeCell ref="N19:O19"/>
    <mergeCell ref="F63:H63"/>
    <mergeCell ref="F34:H34"/>
    <mergeCell ref="N91:P91"/>
    <mergeCell ref="N25:P25"/>
    <mergeCell ref="Q69:T69"/>
    <mergeCell ref="A12:D12"/>
    <mergeCell ref="J42:K42"/>
    <mergeCell ref="Q98:T98"/>
    <mergeCell ref="N95:O95"/>
    <mergeCell ref="F94:H94"/>
    <mergeCell ref="B61:D61"/>
    <mergeCell ref="R103:S103"/>
    <mergeCell ref="J45:L45"/>
    <mergeCell ref="R55:T55"/>
    <mergeCell ref="N38:P38"/>
    <mergeCell ref="F104:G104"/>
    <mergeCell ref="M57:M63"/>
    <mergeCell ref="N13:P13"/>
    <mergeCell ref="N84:P84"/>
    <mergeCell ref="M99:M100"/>
    <mergeCell ref="N78:P78"/>
    <mergeCell ref="F41:G41"/>
    <mergeCell ref="B64:D64"/>
    <mergeCell ref="B73:C73"/>
    <mergeCell ref="N15:P15"/>
    <mergeCell ref="J51:L51"/>
    <mergeCell ref="N80:P80"/>
    <mergeCell ref="R71:T71"/>
    <mergeCell ref="R58:T58"/>
    <mergeCell ref="B10:C10"/>
    <mergeCell ref="N79:P79"/>
    <mergeCell ref="R8:T8"/>
    <mergeCell ref="B16:D16"/>
    <mergeCell ref="J96:K96"/>
    <mergeCell ref="B74:C74"/>
    <mergeCell ref="I22:L22"/>
    <mergeCell ref="R60:T60"/>
    <mergeCell ref="B3:D3"/>
    <mergeCell ref="I13:I16"/>
    <mergeCell ref="M22:P22"/>
    <mergeCell ref="B18:D18"/>
    <mergeCell ref="Q44:T44"/>
    <mergeCell ref="J77:L77"/>
    <mergeCell ref="B11:D11"/>
    <mergeCell ref="N33:P33"/>
    <mergeCell ref="N20:O20"/>
    <mergeCell ref="N93:P93"/>
    <mergeCell ref="F33:H33"/>
    <mergeCell ref="F36:H36"/>
    <mergeCell ref="B57:D57"/>
    <mergeCell ref="N85:O85"/>
    <mergeCell ref="F8:H8"/>
    <mergeCell ref="J35:L35"/>
    <mergeCell ref="F2:H2"/>
    <mergeCell ref="F31:H31"/>
    <mergeCell ref="N28:P28"/>
    <mergeCell ref="F102:H102"/>
    <mergeCell ref="B67:C67"/>
    <mergeCell ref="J53:K53"/>
    <mergeCell ref="A45:A50"/>
    <mergeCell ref="F39:H39"/>
    <mergeCell ref="B6:D6"/>
    <mergeCell ref="J3:L3"/>
    <mergeCell ref="R46:T46"/>
    <mergeCell ref="J46:L46"/>
    <mergeCell ref="I2:I6"/>
    <mergeCell ref="R5:T5"/>
    <mergeCell ref="B4:D4"/>
    <mergeCell ref="J61:L61"/>
    <mergeCell ref="R48:T48"/>
    <mergeCell ref="R23:T23"/>
    <mergeCell ref="J48:L48"/>
    <mergeCell ref="B62:D62"/>
    <mergeCell ref="J97:L97"/>
    <mergeCell ref="F64:H64"/>
    <mergeCell ref="J72:L72"/>
    <mergeCell ref="Q88:T88"/>
    <mergeCell ref="B72:D72"/>
    <mergeCell ref="R79:T79"/>
    <mergeCell ref="B70:D70"/>
    <mergeCell ref="N81:P81"/>
    <mergeCell ref="F21:H21"/>
    <mergeCell ref="R73:S73"/>
    <mergeCell ref="J73:K73"/>
    <mergeCell ref="F50:H50"/>
    <mergeCell ref="B17:D17"/>
    <mergeCell ref="R10:S10"/>
    <mergeCell ref="B82:D82"/>
    <mergeCell ref="J16:L16"/>
    <mergeCell ref="R3:T3"/>
    <mergeCell ref="F27:H27"/>
    <mergeCell ref="N59:P59"/>
    <mergeCell ref="J105:L105"/>
    <mergeCell ref="B83:D83"/>
    <mergeCell ref="J43:L43"/>
    <mergeCell ref="N34:P34"/>
    <mergeCell ref="R86:S86"/>
    <mergeCell ref="B29:C29"/>
    <mergeCell ref="N49:P49"/>
    <mergeCell ref="A88:D88"/>
    <mergeCell ref="R42:S42"/>
    <mergeCell ref="F49:H49"/>
    <mergeCell ref="A23:A26"/>
    <mergeCell ref="N36:P36"/>
    <mergeCell ref="N101:P101"/>
    <mergeCell ref="R92:T92"/>
    <mergeCell ref="M89:M92"/>
    <mergeCell ref="J5:L5"/>
    <mergeCell ref="N94:P94"/>
    <mergeCell ref="N30:O30"/>
    <mergeCell ref="I56:L56"/>
    <mergeCell ref="R94:T94"/>
    <mergeCell ref="B95:C95"/>
    <mergeCell ref="R31:T31"/>
    <mergeCell ref="R87:T87"/>
    <mergeCell ref="F55:H55"/>
    <mergeCell ref="R6:T6"/>
    <mergeCell ref="J6:L6"/>
    <mergeCell ref="N104:O104"/>
    <mergeCell ref="B14:D14"/>
    <mergeCell ref="N62:P62"/>
    <mergeCell ref="A77:A82"/>
    <mergeCell ref="R89:T89"/>
    <mergeCell ref="N54:O54"/>
    <mergeCell ref="B13:D13"/>
    <mergeCell ref="E76:H76"/>
    <mergeCell ref="N41:O41"/>
    <mergeCell ref="E33:E38"/>
    <mergeCell ref="J4:L4"/>
    <mergeCell ref="B78:D78"/>
    <mergeCell ref="R51:T51"/>
    <mergeCell ref="N64:P64"/>
    <mergeCell ref="F23:H23"/>
    <mergeCell ref="I69:L69"/>
    <mergeCell ref="F71:H71"/>
    <mergeCell ref="B42:C42"/>
    <mergeCell ref="F58:H58"/>
    <mergeCell ref="R74:S74"/>
    <mergeCell ref="F52:H52"/>
    <mergeCell ref="J74:K74"/>
    <mergeCell ref="F37:H37"/>
    <mergeCell ref="A1:D1"/>
    <mergeCell ref="F60:H60"/>
    <mergeCell ref="J18:L18"/>
    <mergeCell ref="B19:C19"/>
    <mergeCell ref="J17:L17"/>
    <mergeCell ref="B91:D91"/>
    <mergeCell ref="B25:D25"/>
    <mergeCell ref="J82:L82"/>
    <mergeCell ref="N11:P11"/>
    <mergeCell ref="N9:O9"/>
    <mergeCell ref="J57:L57"/>
    <mergeCell ref="F68:H68"/>
    <mergeCell ref="B20:C20"/>
    <mergeCell ref="B93:D93"/>
    <mergeCell ref="F84:H84"/>
    <mergeCell ref="B85:C85"/>
    <mergeCell ref="N75:P75"/>
    <mergeCell ref="N102:P102"/>
    <mergeCell ref="F80:H80"/>
    <mergeCell ref="J67:K67"/>
    <mergeCell ref="R29:S29"/>
    <mergeCell ref="B101:D101"/>
    <mergeCell ref="N52:P52"/>
    <mergeCell ref="N39:P39"/>
    <mergeCell ref="B38:D38"/>
    <mergeCell ref="Q2:Q6"/>
    <mergeCell ref="A57:A63"/>
    <mergeCell ref="F46:H46"/>
    <mergeCell ref="Q56:T56"/>
    <mergeCell ref="R97:T97"/>
    <mergeCell ref="B40:D40"/>
    <mergeCell ref="B15:D15"/>
    <mergeCell ref="F48:H48"/>
    <mergeCell ref="B33:D33"/>
    <mergeCell ref="B79:D79"/>
    <mergeCell ref="E44:H44"/>
    <mergeCell ref="N70:P70"/>
    <mergeCell ref="M77:M82"/>
    <mergeCell ref="M33:M38"/>
    <mergeCell ref="B81:D81"/>
    <mergeCell ref="N7:P7"/>
    <mergeCell ref="N63:P63"/>
    <mergeCell ref="R63:T63"/>
    <mergeCell ref="N50:P50"/>
    <mergeCell ref="I12:L12"/>
    <mergeCell ref="R16:T16"/>
    <mergeCell ref="F53:G53"/>
    <mergeCell ref="F5:H5"/>
    <mergeCell ref="N2:P2"/>
    <mergeCell ref="I1:L1"/>
    <mergeCell ref="R27:T27"/>
    <mergeCell ref="R83:T83"/>
    <mergeCell ref="J27:L27"/>
    <mergeCell ref="J83:L83"/>
    <mergeCell ref="J19:K19"/>
    <mergeCell ref="R45:T45"/>
    <mergeCell ref="M32:P32"/>
    <mergeCell ref="E32:H32"/>
    <mergeCell ref="R91:T91"/>
    <mergeCell ref="B34:D34"/>
    <mergeCell ref="B28:D28"/>
    <mergeCell ref="J25:L25"/>
    <mergeCell ref="B86:C86"/>
    <mergeCell ref="R47:T47"/>
    <mergeCell ref="F86:G86"/>
    <mergeCell ref="N60:P60"/>
    <mergeCell ref="B92:D92"/>
    <mergeCell ref="F92:H92"/>
    <mergeCell ref="M98:P98"/>
    <mergeCell ref="E98:H98"/>
    <mergeCell ref="R95:S95"/>
    <mergeCell ref="J95:K95"/>
    <mergeCell ref="B94:D94"/>
    <mergeCell ref="N103:O103"/>
    <mergeCell ref="N55:P55"/>
    <mergeCell ref="F87:H87"/>
    <mergeCell ref="R38:T38"/>
    <mergeCell ref="R96:S96"/>
    <mergeCell ref="J38:L38"/>
    <mergeCell ref="B104:C104"/>
    <mergeCell ref="I57:I63"/>
    <mergeCell ref="J13:L13"/>
    <mergeCell ref="J84:L84"/>
    <mergeCell ref="R4:T4"/>
    <mergeCell ref="I99:I100"/>
    <mergeCell ref="F89:H89"/>
    <mergeCell ref="R40:T40"/>
    <mergeCell ref="B105:D105"/>
    <mergeCell ref="B43:D43"/>
    <mergeCell ref="B41:C41"/>
    <mergeCell ref="J40:L40"/>
    <mergeCell ref="F7:H7"/>
    <mergeCell ref="J15:L15"/>
    <mergeCell ref="F51:H51"/>
    <mergeCell ref="J80:L80"/>
    <mergeCell ref="N71:P71"/>
    <mergeCell ref="F10:G10"/>
    <mergeCell ref="N58:P58"/>
    <mergeCell ref="A2:A6"/>
    <mergeCell ref="J79:L79"/>
    <mergeCell ref="F101:H101"/>
    <mergeCell ref="B66:C66"/>
    <mergeCell ref="N8:P8"/>
    <mergeCell ref="R35:T35"/>
    <mergeCell ref="F74:G74"/>
    <mergeCell ref="E22:H22"/>
    <mergeCell ref="E13:E16"/>
    <mergeCell ref="F30:G30"/>
    <mergeCell ref="A89:A92"/>
    <mergeCell ref="R17:T17"/>
    <mergeCell ref="J91:L91"/>
    <mergeCell ref="Q12:T12"/>
    <mergeCell ref="M44:P44"/>
    <mergeCell ref="F77:H77"/>
    <mergeCell ref="R68:T68"/>
    <mergeCell ref="J20:K20"/>
    <mergeCell ref="B36:D36"/>
    <mergeCell ref="J33:L33"/>
    <mergeCell ref="J85:K85"/>
    <mergeCell ref="R61:T61"/>
    <mergeCell ref="B75:D75"/>
    <mergeCell ref="B31:D31"/>
    <mergeCell ref="J28:L28"/>
    <mergeCell ref="B102:D102"/>
    <mergeCell ref="Q1:T1"/>
    <mergeCell ref="B39:D39"/>
    <mergeCell ref="F59:H59"/>
    <mergeCell ref="F3:H3"/>
    <mergeCell ref="N21:P21"/>
    <mergeCell ref="F24:H24"/>
    <mergeCell ref="E2:E6"/>
    <mergeCell ref="B54:C54"/>
    <mergeCell ref="R37:T37"/>
    <mergeCell ref="N23:P23"/>
    <mergeCell ref="F26:H26"/>
    <mergeCell ref="F97:H97"/>
    <mergeCell ref="I45:I50"/>
    <mergeCell ref="F90:H90"/>
    <mergeCell ref="B49:D49"/>
    <mergeCell ref="B65:D65"/>
    <mergeCell ref="R105:T105"/>
    <mergeCell ref="R43:T43"/>
    <mergeCell ref="B63:D63"/>
    <mergeCell ref="I23:I26"/>
    <mergeCell ref="B50:D50"/>
    <mergeCell ref="N10:O10"/>
    <mergeCell ref="M69:P69"/>
    <mergeCell ref="R66:S66"/>
    <mergeCell ref="B9:C9"/>
    <mergeCell ref="J66:K66"/>
    <mergeCell ref="R53:S53"/>
    <mergeCell ref="F16:H16"/>
    <mergeCell ref="F6:H6"/>
    <mergeCell ref="R59:T59"/>
    <mergeCell ref="J59:L59"/>
    <mergeCell ref="J34:L34"/>
    <mergeCell ref="Q45:Q50"/>
    <mergeCell ref="R25:T25"/>
    <mergeCell ref="A32:D32"/>
    <mergeCell ref="N77:P77"/>
    <mergeCell ref="N86:O86"/>
    <mergeCell ref="J49:L49"/>
    <mergeCell ref="J36:L36"/>
    <mergeCell ref="N92:P92"/>
    <mergeCell ref="I89:I92"/>
    <mergeCell ref="F70:H70"/>
    <mergeCell ref="M76:P76"/>
    <mergeCell ref="J94:L94"/>
    <mergeCell ref="J30:K30"/>
    <mergeCell ref="E56:H56"/>
    <mergeCell ref="F95:G95"/>
    <mergeCell ref="J31:L31"/>
    <mergeCell ref="N31:P31"/>
    <mergeCell ref="N87:P87"/>
    <mergeCell ref="B55:D55"/>
    <mergeCell ref="N6:P6"/>
    <mergeCell ref="J104:K104"/>
    <mergeCell ref="Q57:Q63"/>
    <mergeCell ref="N24:P24"/>
    <mergeCell ref="J62:L62"/>
    <mergeCell ref="Q99:Q100"/>
    <mergeCell ref="N89:P89"/>
    <mergeCell ref="J54:K54"/>
    <mergeCell ref="R18:T18"/>
    <mergeCell ref="J41:K41"/>
    <mergeCell ref="F4:H4"/>
    <mergeCell ref="R64:T64"/>
    <mergeCell ref="N26:P26"/>
    <mergeCell ref="B7:D7"/>
    <mergeCell ref="J64:L64"/>
    <mergeCell ref="R82:T82"/>
    <mergeCell ref="E69:H69"/>
    <mergeCell ref="R57:T57"/>
    <mergeCell ref="B71:D71"/>
    <mergeCell ref="J93:L93"/>
    <mergeCell ref="B58:D58"/>
    <mergeCell ref="N74:O74"/>
    <mergeCell ref="B52:D52"/>
    <mergeCell ref="B2:D2"/>
    <mergeCell ref="Q22:T22"/>
  </mergeCells>
  <pageMargins left="0.1181102362204725" right="0.1181102362204725" top="0.7480314960629921" bottom="0.7480314960629921" header="0.3149606299212598" footer="0.3149606299212598"/>
  <pageSetup orientation="portrait" paperSize="9" scale="40"/>
  <rowBreaks count="2" manualBreakCount="2">
    <brk id="43" min="0" max="27" man="1"/>
    <brk id="75" min="0" max="27" man="1"/>
  </rowBreaks>
  <colBreaks count="1" manualBreakCount="1">
    <brk id="12" min="0" max="11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2026-03-25T07:28:05Z</dcterms:created>
  <dcterms:modified xsi:type="dcterms:W3CDTF">2026-07-07T09:26:50Z</dcterms:modified>
  <cp:lastModifiedBy>user</cp:lastModifiedBy>
  <cp:lastPrinted>2026-06-09T07:49:03Z</cp:lastPrinted>
</cp:coreProperties>
</file>